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验分类与风险系数" sheetId="1" state="visible" r:id="rId1"/>
    <sheet name="赔偿标准计算" sheetId="2" state="visible" r:id="rId2"/>
    <sheet name="保险费率计算" sheetId="3" state="visible" r:id="rId3"/>
    <sheet name="保费计算器" sheetId="4" state="visible" r:id="rId4"/>
    <sheet name="数据来源与文献" sheetId="5" state="visible" r:id="rId5"/>
    <sheet name="报告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b val="1"/>
      <sz val="12"/>
    </font>
    <font>
      <b val="1"/>
      <color rgb="00FF0000"/>
      <sz val="14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.4" customWidth="1" min="1" max="1"/>
    <col width="18" customWidth="1" min="2" max="2"/>
    <col width="12" customWidth="1" min="3" max="3"/>
    <col width="7.199999999999999" customWidth="1" min="4" max="4"/>
    <col width="12" customWidth="1" min="5" max="5"/>
    <col width="7.199999999999999" customWidth="1" min="6" max="6"/>
    <col width="13.2" customWidth="1" min="7" max="7"/>
    <col width="21.6" customWidth="1" min="8" max="8"/>
  </cols>
  <sheetData>
    <row r="1">
      <c r="A1" t="inlineStr">
        <is>
          <t>分类维度</t>
        </is>
      </c>
      <c r="B1" t="inlineStr">
        <is>
          <t>子类别</t>
        </is>
      </c>
      <c r="C1" t="inlineStr">
        <is>
          <t>代码</t>
        </is>
      </c>
      <c r="D1" t="inlineStr">
        <is>
          <t>风险等级</t>
        </is>
      </c>
      <c r="E1" t="inlineStr">
        <is>
          <t>基础费率 (‰)</t>
        </is>
      </c>
      <c r="F1" t="inlineStr">
        <is>
          <t>风险系数</t>
        </is>
      </c>
      <c r="G1" t="inlineStr">
        <is>
          <t>事故率估算 (%)</t>
        </is>
      </c>
      <c r="H1" t="inlineStr">
        <is>
          <t>数据来源</t>
        </is>
      </c>
    </row>
    <row r="2">
      <c r="A2" t="inlineStr">
        <is>
          <t>试验阶段</t>
        </is>
      </c>
      <c r="B2" t="inlineStr">
        <is>
          <t>I 期临床试验</t>
        </is>
      </c>
      <c r="C2" t="inlineStr">
        <is>
          <t>P1</t>
        </is>
      </c>
      <c r="D2" t="inlineStr">
        <is>
          <t>高</t>
        </is>
      </c>
      <c r="E2" t="n">
        <v>4.5</v>
      </c>
      <c r="F2" t="n">
        <v>1.8</v>
      </c>
      <c r="G2" t="inlineStr">
        <is>
          <t>4.5-6.2</t>
        </is>
      </c>
      <c r="H2" t="inlineStr">
        <is>
          <t>FDA 2024+CDE</t>
        </is>
      </c>
    </row>
    <row r="3">
      <c r="A3" t="inlineStr">
        <is>
          <t>试验阶段</t>
        </is>
      </c>
      <c r="B3" t="inlineStr">
        <is>
          <t>II 期临床试验</t>
        </is>
      </c>
      <c r="C3" t="inlineStr">
        <is>
          <t>P2</t>
        </is>
      </c>
      <c r="D3" t="inlineStr">
        <is>
          <t>中高</t>
        </is>
      </c>
      <c r="E3" t="n">
        <v>3.8</v>
      </c>
      <c r="F3" t="n">
        <v>1.5</v>
      </c>
      <c r="G3" t="inlineStr">
        <is>
          <t>2.8-4.1</t>
        </is>
      </c>
      <c r="H3" t="inlineStr">
        <is>
          <t>WHO ICTRP</t>
        </is>
      </c>
    </row>
    <row r="4">
      <c r="A4" t="inlineStr">
        <is>
          <t>试验阶段</t>
        </is>
      </c>
      <c r="B4" t="inlineStr">
        <is>
          <t>III 期临床试验</t>
        </is>
      </c>
      <c r="C4" t="inlineStr">
        <is>
          <t>P3</t>
        </is>
      </c>
      <c r="D4" t="inlineStr">
        <is>
          <t>中</t>
        </is>
      </c>
      <c r="E4" t="n">
        <v>2.8</v>
      </c>
      <c r="F4" t="n">
        <v>1</v>
      </c>
      <c r="G4" t="inlineStr">
        <is>
          <t>1.5-2.3</t>
        </is>
      </c>
      <c r="H4" t="inlineStr">
        <is>
          <t>NMPA 批准数据</t>
        </is>
      </c>
    </row>
    <row r="5">
      <c r="A5" t="inlineStr">
        <is>
          <t>试验阶段</t>
        </is>
      </c>
      <c r="B5" t="inlineStr">
        <is>
          <t>IV 期临床试验</t>
        </is>
      </c>
      <c r="C5" t="inlineStr">
        <is>
          <t>P4</t>
        </is>
      </c>
      <c r="D5" t="inlineStr">
        <is>
          <t>低</t>
        </is>
      </c>
      <c r="E5" t="n">
        <v>1.8</v>
      </c>
      <c r="F5" t="n">
        <v>0.6</v>
      </c>
      <c r="G5" t="inlineStr">
        <is>
          <t>0.8-1.5</t>
        </is>
      </c>
      <c r="H5" t="inlineStr">
        <is>
          <t>上市后监测</t>
        </is>
      </c>
    </row>
    <row r="6">
      <c r="A6" t="inlineStr">
        <is>
          <t>试验阶段</t>
        </is>
      </c>
      <c r="B6" t="inlineStr">
        <is>
          <t>BE 试验 (生物等效性)</t>
        </is>
      </c>
      <c r="C6" t="inlineStr">
        <is>
          <t>BE</t>
        </is>
      </c>
      <c r="D6" t="inlineStr">
        <is>
          <t>中</t>
        </is>
      </c>
      <c r="E6" t="n">
        <v>2.5</v>
      </c>
      <c r="F6" t="n">
        <v>0.9</v>
      </c>
      <c r="G6" t="inlineStr">
        <is>
          <t>1.2-2.0</t>
        </is>
      </c>
      <c r="H6" t="inlineStr">
        <is>
          <t>CDE 审评数据</t>
        </is>
      </c>
    </row>
    <row r="7">
      <c r="A7" t="inlineStr">
        <is>
          <t>发起者类型</t>
        </is>
      </c>
      <c r="B7" t="inlineStr">
        <is>
          <t>SCT (申办方发起)</t>
        </is>
      </c>
      <c r="C7" t="inlineStr">
        <is>
          <t>SCT</t>
        </is>
      </c>
      <c r="D7" t="inlineStr">
        <is>
          <t>标准</t>
        </is>
      </c>
      <c r="E7" t="n">
        <v>2.8</v>
      </c>
      <c r="F7" t="n">
        <v>1</v>
      </c>
      <c r="G7" t="inlineStr">
        <is>
          <t>2.0-3.5</t>
        </is>
      </c>
      <c r="H7" t="inlineStr">
        <is>
          <t>行业标准</t>
        </is>
      </c>
    </row>
    <row r="8">
      <c r="A8" t="inlineStr">
        <is>
          <t>发起者类型</t>
        </is>
      </c>
      <c r="B8" t="inlineStr">
        <is>
          <t>IIT (研究者发起)</t>
        </is>
      </c>
      <c r="C8" t="inlineStr">
        <is>
          <t>IIT</t>
        </is>
      </c>
      <c r="D8" t="inlineStr">
        <is>
          <t>中高</t>
        </is>
      </c>
      <c r="E8" t="n">
        <v>3.5</v>
      </c>
      <c r="F8" t="n">
        <v>1.4</v>
      </c>
      <c r="G8" t="inlineStr">
        <is>
          <t>3.0-5.0</t>
        </is>
      </c>
      <c r="H8" t="inlineStr">
        <is>
          <t>文献 2024</t>
        </is>
      </c>
    </row>
    <row r="9">
      <c r="A9" t="inlineStr">
        <is>
          <t>发起者类型</t>
        </is>
      </c>
      <c r="B9" t="inlineStr">
        <is>
          <t>政府资助试验</t>
        </is>
      </c>
      <c r="C9" t="inlineStr">
        <is>
          <t>GOV</t>
        </is>
      </c>
      <c r="D9" t="inlineStr">
        <is>
          <t>中</t>
        </is>
      </c>
      <c r="E9" t="n">
        <v>2.5</v>
      </c>
      <c r="F9" t="n">
        <v>0.9</v>
      </c>
      <c r="G9" t="inlineStr">
        <is>
          <t>1.8-3.0</t>
        </is>
      </c>
      <c r="H9" t="inlineStr">
        <is>
          <t>科技部数据</t>
        </is>
      </c>
    </row>
    <row r="10">
      <c r="A10" t="inlineStr">
        <is>
          <t>药物类型</t>
        </is>
      </c>
      <c r="B10" t="inlineStr">
        <is>
          <t>化学药 - 创新药</t>
        </is>
      </c>
      <c r="C10" t="inlineStr">
        <is>
          <t>CHEM-INN</t>
        </is>
      </c>
      <c r="D10" t="inlineStr">
        <is>
          <t>高</t>
        </is>
      </c>
      <c r="E10" t="n">
        <v>4</v>
      </c>
      <c r="F10" t="n">
        <v>1.6</v>
      </c>
      <c r="G10" t="inlineStr">
        <is>
          <t>3.5-5.5</t>
        </is>
      </c>
      <c r="H10" t="inlineStr">
        <is>
          <t>JAMA 2024</t>
        </is>
      </c>
    </row>
    <row r="11">
      <c r="A11" t="inlineStr">
        <is>
          <t>药物类型</t>
        </is>
      </c>
      <c r="B11" t="inlineStr">
        <is>
          <t>化学药 - 仿制药</t>
        </is>
      </c>
      <c r="C11" t="inlineStr">
        <is>
          <t>CHEM-GEN</t>
        </is>
      </c>
      <c r="D11" t="inlineStr">
        <is>
          <t>低</t>
        </is>
      </c>
      <c r="E11" t="n">
        <v>1.8</v>
      </c>
      <c r="F11" t="n">
        <v>0.7</v>
      </c>
      <c r="G11" t="inlineStr">
        <is>
          <t>1.0-2.0</t>
        </is>
      </c>
      <c r="H11" t="inlineStr">
        <is>
          <t>CDE 审评</t>
        </is>
      </c>
    </row>
    <row r="12">
      <c r="A12" t="inlineStr">
        <is>
          <t>药物类型</t>
        </is>
      </c>
      <c r="B12" t="inlineStr">
        <is>
          <t>生物药 - 单抗</t>
        </is>
      </c>
      <c r="C12" t="inlineStr">
        <is>
          <t>BIO-MAB</t>
        </is>
      </c>
      <c r="D12" t="inlineStr">
        <is>
          <t>高</t>
        </is>
      </c>
      <c r="E12" t="n">
        <v>4.5</v>
      </c>
      <c r="F12" t="n">
        <v>1.8</v>
      </c>
      <c r="G12" t="inlineStr">
        <is>
          <t>4.0-6.0</t>
        </is>
      </c>
      <c r="H12" t="inlineStr">
        <is>
          <t>Lancet 2025</t>
        </is>
      </c>
    </row>
    <row r="13">
      <c r="A13" t="inlineStr">
        <is>
          <t>药物类型</t>
        </is>
      </c>
      <c r="B13" t="inlineStr">
        <is>
          <t>生物药 - 疫苗</t>
        </is>
      </c>
      <c r="C13" t="inlineStr">
        <is>
          <t>BIO-VAC</t>
        </is>
      </c>
      <c r="D13" t="inlineStr">
        <is>
          <t>中高</t>
        </is>
      </c>
      <c r="E13" t="n">
        <v>3.8</v>
      </c>
      <c r="F13" t="n">
        <v>1.5</v>
      </c>
      <c r="G13" t="inlineStr">
        <is>
          <t>3.0-4.5</t>
        </is>
      </c>
      <c r="H13" t="inlineStr">
        <is>
          <t>WHO 数据</t>
        </is>
      </c>
    </row>
    <row r="14">
      <c r="A14" t="inlineStr">
        <is>
          <t>药物类型</t>
        </is>
      </c>
      <c r="B14" t="inlineStr">
        <is>
          <t>生物药 - 细胞治疗</t>
        </is>
      </c>
      <c r="C14" t="inlineStr">
        <is>
          <t>BIO-CELL</t>
        </is>
      </c>
      <c r="D14" t="inlineStr">
        <is>
          <t>极高</t>
        </is>
      </c>
      <c r="E14" t="n">
        <v>6.5</v>
      </c>
      <c r="F14" t="n">
        <v>2.5</v>
      </c>
      <c r="G14" t="inlineStr">
        <is>
          <t>5.5-8.0</t>
        </is>
      </c>
      <c r="H14" t="inlineStr">
        <is>
          <t>FDA 基因治疗</t>
        </is>
      </c>
    </row>
    <row r="15">
      <c r="A15" t="inlineStr">
        <is>
          <t>药物类型</t>
        </is>
      </c>
      <c r="B15" t="inlineStr">
        <is>
          <t>生物药 - 基因治疗</t>
        </is>
      </c>
      <c r="C15" t="inlineStr">
        <is>
          <t>BIO-GT</t>
        </is>
      </c>
      <c r="D15" t="inlineStr">
        <is>
          <t>极高</t>
        </is>
      </c>
      <c r="E15" t="n">
        <v>7</v>
      </c>
      <c r="F15" t="n">
        <v>2.8</v>
      </c>
      <c r="G15" t="inlineStr">
        <is>
          <t>6.0-9.0</t>
        </is>
      </c>
      <c r="H15" t="inlineStr">
        <is>
          <t>Nature Med 2024</t>
        </is>
      </c>
    </row>
    <row r="16">
      <c r="A16" t="inlineStr">
        <is>
          <t>药物类型</t>
        </is>
      </c>
      <c r="B16" t="inlineStr">
        <is>
          <t>放射性药物</t>
        </is>
      </c>
      <c r="C16" t="inlineStr">
        <is>
          <t>RAD</t>
        </is>
      </c>
      <c r="D16" t="inlineStr">
        <is>
          <t>高</t>
        </is>
      </c>
      <c r="E16" t="n">
        <v>5</v>
      </c>
      <c r="F16" t="n">
        <v>2</v>
      </c>
      <c r="G16" t="inlineStr">
        <is>
          <t>4.0-6.5</t>
        </is>
      </c>
      <c r="H16" t="inlineStr">
        <is>
          <t>核医学数据</t>
        </is>
      </c>
    </row>
    <row r="17">
      <c r="A17" t="inlineStr">
        <is>
          <t>药物类型</t>
        </is>
      </c>
      <c r="B17" t="inlineStr">
        <is>
          <t>中药/天然药物</t>
        </is>
      </c>
      <c r="C17" t="inlineStr">
        <is>
          <t>TCM</t>
        </is>
      </c>
      <c r="D17" t="inlineStr">
        <is>
          <t>中</t>
        </is>
      </c>
      <c r="E17" t="n">
        <v>2.2</v>
      </c>
      <c r="F17" t="n">
        <v>0.8</v>
      </c>
      <c r="G17" t="inlineStr">
        <is>
          <t>1.5-2.8</t>
        </is>
      </c>
      <c r="H17" t="inlineStr">
        <is>
          <t>CDE 中药</t>
        </is>
      </c>
    </row>
    <row r="18">
      <c r="A18" t="inlineStr">
        <is>
          <t>药物类型</t>
        </is>
      </c>
      <c r="B18" t="inlineStr">
        <is>
          <t>医疗器械 - I 类</t>
        </is>
      </c>
      <c r="C18" t="inlineStr">
        <is>
          <t>DEV-I</t>
        </is>
      </c>
      <c r="D18" t="inlineStr">
        <is>
          <t>低</t>
        </is>
      </c>
      <c r="E18" t="n">
        <v>1.2</v>
      </c>
      <c r="F18" t="n">
        <v>0.5</v>
      </c>
      <c r="G18" t="inlineStr">
        <is>
          <t>0.5-1.2</t>
        </is>
      </c>
      <c r="H18" t="inlineStr">
        <is>
          <t>NMPA 器械</t>
        </is>
      </c>
    </row>
    <row r="19">
      <c r="A19" t="inlineStr">
        <is>
          <t>药物类型</t>
        </is>
      </c>
      <c r="B19" t="inlineStr">
        <is>
          <t>医疗器械 - II 类</t>
        </is>
      </c>
      <c r="C19" t="inlineStr">
        <is>
          <t>DEV-II</t>
        </is>
      </c>
      <c r="D19" t="inlineStr">
        <is>
          <t>中</t>
        </is>
      </c>
      <c r="E19" t="n">
        <v>2</v>
      </c>
      <c r="F19" t="n">
        <v>0.8</v>
      </c>
      <c r="G19" t="inlineStr">
        <is>
          <t>1.2-2.5</t>
        </is>
      </c>
      <c r="H19" t="inlineStr">
        <is>
          <t>NMPA 器械</t>
        </is>
      </c>
    </row>
    <row r="20">
      <c r="A20" t="inlineStr">
        <is>
          <t>药物类型</t>
        </is>
      </c>
      <c r="B20" t="inlineStr">
        <is>
          <t>医疗器械 - III 类</t>
        </is>
      </c>
      <c r="C20" t="inlineStr">
        <is>
          <t>DEV-III</t>
        </is>
      </c>
      <c r="D20" t="inlineStr">
        <is>
          <t>高</t>
        </is>
      </c>
      <c r="E20" t="n">
        <v>4</v>
      </c>
      <c r="F20" t="n">
        <v>1.6</v>
      </c>
      <c r="G20" t="inlineStr">
        <is>
          <t>3.0-5.0</t>
        </is>
      </c>
      <c r="H20" t="inlineStr">
        <is>
          <t>NMPA 器械</t>
        </is>
      </c>
    </row>
    <row r="21">
      <c r="A21" t="inlineStr">
        <is>
          <t>治疗领域</t>
        </is>
      </c>
      <c r="B21" t="inlineStr">
        <is>
          <t>肿瘤</t>
        </is>
      </c>
      <c r="C21" t="inlineStr">
        <is>
          <t>TA-ONC</t>
        </is>
      </c>
      <c r="D21" t="inlineStr">
        <is>
          <t>高</t>
        </is>
      </c>
      <c r="E21" t="n">
        <v>4.5</v>
      </c>
      <c r="F21" t="n">
        <v>1.8</v>
      </c>
      <c r="G21" t="inlineStr">
        <is>
          <t>4.0-6.0</t>
        </is>
      </c>
      <c r="H21" t="inlineStr">
        <is>
          <t>JAMA Oncol 2024</t>
        </is>
      </c>
    </row>
    <row r="22">
      <c r="A22" t="inlineStr">
        <is>
          <t>治疗领域</t>
        </is>
      </c>
      <c r="B22" t="inlineStr">
        <is>
          <t>心血管</t>
        </is>
      </c>
      <c r="C22" t="inlineStr">
        <is>
          <t>TA-CV</t>
        </is>
      </c>
      <c r="D22" t="inlineStr">
        <is>
          <t>中</t>
        </is>
      </c>
      <c r="E22" t="n">
        <v>2.8</v>
      </c>
      <c r="F22" t="n">
        <v>1.1</v>
      </c>
      <c r="G22" t="inlineStr">
        <is>
          <t>2.0-3.5</t>
        </is>
      </c>
      <c r="H22" t="inlineStr">
        <is>
          <t>Circulation 2024</t>
        </is>
      </c>
    </row>
    <row r="23">
      <c r="A23" t="inlineStr">
        <is>
          <t>治疗领域</t>
        </is>
      </c>
      <c r="B23" t="inlineStr">
        <is>
          <t>内分泌/代谢</t>
        </is>
      </c>
      <c r="C23" t="inlineStr">
        <is>
          <t>TA-ENDO</t>
        </is>
      </c>
      <c r="D23" t="inlineStr">
        <is>
          <t>中</t>
        </is>
      </c>
      <c r="E23" t="n">
        <v>2.5</v>
      </c>
      <c r="F23" t="n">
        <v>1</v>
      </c>
      <c r="G23" t="inlineStr">
        <is>
          <t>1.8-3.0</t>
        </is>
      </c>
      <c r="H23" t="inlineStr">
        <is>
          <t>Diabetes Care</t>
        </is>
      </c>
    </row>
    <row r="24">
      <c r="A24" t="inlineStr">
        <is>
          <t>治疗领域</t>
        </is>
      </c>
      <c r="B24" t="inlineStr">
        <is>
          <t>神经科学</t>
        </is>
      </c>
      <c r="C24" t="inlineStr">
        <is>
          <t>TA-NEURO</t>
        </is>
      </c>
      <c r="D24" t="inlineStr">
        <is>
          <t>中高</t>
        </is>
      </c>
      <c r="E24" t="n">
        <v>3.5</v>
      </c>
      <c r="F24" t="n">
        <v>1.4</v>
      </c>
      <c r="G24" t="inlineStr">
        <is>
          <t>2.8-4.5</t>
        </is>
      </c>
      <c r="H24" t="inlineStr">
        <is>
          <t>Neurology 2024</t>
        </is>
      </c>
    </row>
    <row r="25">
      <c r="A25" t="inlineStr">
        <is>
          <t>治疗领域</t>
        </is>
      </c>
      <c r="B25" t="inlineStr">
        <is>
          <t>免疫/风湿</t>
        </is>
      </c>
      <c r="C25" t="inlineStr">
        <is>
          <t>TA-IMM</t>
        </is>
      </c>
      <c r="D25" t="inlineStr">
        <is>
          <t>中高</t>
        </is>
      </c>
      <c r="E25" t="n">
        <v>3.8</v>
      </c>
      <c r="F25" t="n">
        <v>1.5</v>
      </c>
      <c r="G25" t="inlineStr">
        <is>
          <t>3.0-4.8</t>
        </is>
      </c>
      <c r="H25" t="inlineStr">
        <is>
          <t>Ann Rheum Dis</t>
        </is>
      </c>
    </row>
    <row r="26">
      <c r="A26" t="inlineStr">
        <is>
          <t>治疗领域</t>
        </is>
      </c>
      <c r="B26" t="inlineStr">
        <is>
          <t>呼吸</t>
        </is>
      </c>
      <c r="C26" t="inlineStr">
        <is>
          <t>TA-RESP</t>
        </is>
      </c>
      <c r="D26" t="inlineStr">
        <is>
          <t>中</t>
        </is>
      </c>
      <c r="E26" t="n">
        <v>2.8</v>
      </c>
      <c r="F26" t="n">
        <v>1.1</v>
      </c>
      <c r="G26" t="inlineStr">
        <is>
          <t>2.0-3.5</t>
        </is>
      </c>
      <c r="H26" t="inlineStr">
        <is>
          <t>Lancet Respir</t>
        </is>
      </c>
    </row>
    <row r="27">
      <c r="A27" t="inlineStr">
        <is>
          <t>治疗领域</t>
        </is>
      </c>
      <c r="B27" t="inlineStr">
        <is>
          <t>消化</t>
        </is>
      </c>
      <c r="C27" t="inlineStr">
        <is>
          <t>TA-GI</t>
        </is>
      </c>
      <c r="D27" t="inlineStr">
        <is>
          <t>低</t>
        </is>
      </c>
      <c r="E27" t="n">
        <v>2</v>
      </c>
      <c r="F27" t="n">
        <v>0.8</v>
      </c>
      <c r="G27" t="inlineStr">
        <is>
          <t>1.2-2.5</t>
        </is>
      </c>
      <c r="H27" t="inlineStr">
        <is>
          <t>Gastroenterology</t>
        </is>
      </c>
    </row>
    <row r="28">
      <c r="A28" t="inlineStr">
        <is>
          <t>治疗领域</t>
        </is>
      </c>
      <c r="B28" t="inlineStr">
        <is>
          <t>罕见病</t>
        </is>
      </c>
      <c r="C28" t="inlineStr">
        <is>
          <t>TA-RARE</t>
        </is>
      </c>
      <c r="D28" t="inlineStr">
        <is>
          <t>高</t>
        </is>
      </c>
      <c r="E28" t="n">
        <v>5</v>
      </c>
      <c r="F28" t="n">
        <v>2</v>
      </c>
      <c r="G28" t="inlineStr">
        <is>
          <t>4.0-7.0</t>
        </is>
      </c>
      <c r="H28" t="inlineStr">
        <is>
          <t>Orphanet 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35" customWidth="1" min="9" max="9"/>
    <col width="20" customWidth="1" min="10" max="10"/>
  </cols>
  <sheetData>
    <row r="1">
      <c r="A1" t="inlineStr">
        <is>
          <t>损害等级</t>
        </is>
      </c>
      <c r="B1" t="inlineStr">
        <is>
          <t>代码</t>
        </is>
      </c>
      <c r="C1" t="inlineStr">
        <is>
          <t>医疗费用 (万元)</t>
        </is>
      </c>
      <c r="D1" t="inlineStr">
        <is>
          <t>误工费 (万元)</t>
        </is>
      </c>
      <c r="E1" t="inlineStr">
        <is>
          <t>护理费 (万元)</t>
        </is>
      </c>
      <c r="F1" t="inlineStr">
        <is>
          <t>残疾赔偿金 (万元)</t>
        </is>
      </c>
      <c r="G1" t="inlineStr">
        <is>
          <t>精神损害 (万元)</t>
        </is>
      </c>
      <c r="H1" t="inlineStr">
        <is>
          <t>合计估算 (万元)</t>
        </is>
      </c>
      <c r="I1" t="inlineStr">
        <is>
          <t>计算公式</t>
        </is>
      </c>
      <c r="J1" t="inlineStr">
        <is>
          <t>依据</t>
        </is>
      </c>
    </row>
    <row r="2">
      <c r="A2" t="inlineStr">
        <is>
          <t>轻度不良反应</t>
        </is>
      </c>
      <c r="B2" t="inlineStr">
        <is>
          <t>L1</t>
        </is>
      </c>
      <c r="C2" t="inlineStr">
        <is>
          <t>0.3-1.0</t>
        </is>
      </c>
      <c r="D2" t="inlineStr">
        <is>
          <t>0.2-0.5</t>
        </is>
      </c>
      <c r="E2" t="inlineStr">
        <is>
          <t>0.1-0.3</t>
        </is>
      </c>
      <c r="F2" t="inlineStr">
        <is>
          <t>-</t>
        </is>
      </c>
      <c r="G2" t="inlineStr">
        <is>
          <t>0.2-0.4</t>
        </is>
      </c>
      <c r="H2" t="inlineStr">
        <is>
          <t>0.8-2.2</t>
        </is>
      </c>
      <c r="I2" t="inlineStr">
        <is>
          <t>医疗 + 误工 + 护理 + 精神</t>
        </is>
      </c>
      <c r="J2" t="inlineStr">
        <is>
          <t>2025 城镇收入标准</t>
        </is>
      </c>
    </row>
    <row r="3">
      <c r="A3" t="inlineStr">
        <is>
          <t>中度损害 (住院)</t>
        </is>
      </c>
      <c r="B3" t="inlineStr">
        <is>
          <t>L2</t>
        </is>
      </c>
      <c r="C3" t="inlineStr">
        <is>
          <t>3-10</t>
        </is>
      </c>
      <c r="D3" t="inlineStr">
        <is>
          <t>1-5</t>
        </is>
      </c>
      <c r="E3" t="inlineStr">
        <is>
          <t>0.5-2</t>
        </is>
      </c>
      <c r="F3" t="inlineStr">
        <is>
          <t>-</t>
        </is>
      </c>
      <c r="G3" t="inlineStr">
        <is>
          <t>3.5-5</t>
        </is>
      </c>
      <c r="H3" t="inlineStr">
        <is>
          <t>8-22</t>
        </is>
      </c>
      <c r="I3" t="inlineStr">
        <is>
          <t>医疗 + 误工 + 护理 + 精神</t>
        </is>
      </c>
      <c r="J3" t="inlineStr">
        <is>
          <t>三级医院平均费用</t>
        </is>
      </c>
    </row>
    <row r="4">
      <c r="A4" t="inlineStr">
        <is>
          <t>重度损害 (10 级伤残)</t>
        </is>
      </c>
      <c r="B4" t="inlineStr">
        <is>
          <t>L3-A</t>
        </is>
      </c>
      <c r="C4" t="inlineStr">
        <is>
          <t>10-30</t>
        </is>
      </c>
      <c r="D4" t="inlineStr">
        <is>
          <t>5-15</t>
        </is>
      </c>
      <c r="E4" t="inlineStr">
        <is>
          <t>3-8</t>
        </is>
      </c>
      <c r="F4" t="inlineStr">
        <is>
          <t>47-70</t>
        </is>
      </c>
      <c r="G4" t="inlineStr">
        <is>
          <t>5-10</t>
        </is>
      </c>
      <c r="H4" t="inlineStr">
        <is>
          <t>70-133</t>
        </is>
      </c>
      <c r="I4" t="inlineStr">
        <is>
          <t>医疗 + 误工 + 护理 + 残疾 + 精神</t>
        </is>
      </c>
      <c r="J4" t="inlineStr">
        <is>
          <t>2025 赔偿标准×20 年</t>
        </is>
      </c>
    </row>
    <row r="5">
      <c r="A5" t="inlineStr">
        <is>
          <t>重度损害 (5 级伤残)</t>
        </is>
      </c>
      <c r="B5" t="inlineStr">
        <is>
          <t>L3-B</t>
        </is>
      </c>
      <c r="C5" t="inlineStr">
        <is>
          <t>15-50</t>
        </is>
      </c>
      <c r="D5" t="inlineStr">
        <is>
          <t>10-30</t>
        </is>
      </c>
      <c r="E5" t="inlineStr">
        <is>
          <t>5-15</t>
        </is>
      </c>
      <c r="F5" t="inlineStr">
        <is>
          <t>117-175</t>
        </is>
      </c>
      <c r="G5" t="inlineStr">
        <is>
          <t>8-15</t>
        </is>
      </c>
      <c r="H5" t="inlineStr">
        <is>
          <t>155-285</t>
        </is>
      </c>
      <c r="I5" t="inlineStr">
        <is>
          <t>医疗 + 误工 + 护理 + 残疾 + 精神</t>
        </is>
      </c>
      <c r="J5" t="inlineStr">
        <is>
          <t>2025 赔偿标准×20 年</t>
        </is>
      </c>
    </row>
    <row r="6">
      <c r="A6" t="inlineStr">
        <is>
          <t>重度损害 (1 级伤残)</t>
        </is>
      </c>
      <c r="B6" t="inlineStr">
        <is>
          <t>L3-C</t>
        </is>
      </c>
      <c r="C6" t="inlineStr">
        <is>
          <t>30-100</t>
        </is>
      </c>
      <c r="D6" t="inlineStr">
        <is>
          <t>20-60</t>
        </is>
      </c>
      <c r="E6" t="inlineStr">
        <is>
          <t>10-30</t>
        </is>
      </c>
      <c r="F6" t="inlineStr">
        <is>
          <t>234-350</t>
        </is>
      </c>
      <c r="G6" t="inlineStr">
        <is>
          <t>15-30</t>
        </is>
      </c>
      <c r="H6" t="inlineStr">
        <is>
          <t>309-570</t>
        </is>
      </c>
      <c r="I6" t="inlineStr">
        <is>
          <t>医疗 + 误工 + 护理 + 残疾 + 精神</t>
        </is>
      </c>
      <c r="J6" t="inlineStr">
        <is>
          <t>2025 赔偿标准×20 年</t>
        </is>
      </c>
    </row>
    <row r="7">
      <c r="A7" t="inlineStr">
        <is>
          <t>死亡</t>
        </is>
      </c>
      <c r="B7" t="inlineStr">
        <is>
          <t>L4</t>
        </is>
      </c>
      <c r="C7" t="inlineStr">
        <is>
          <t>5-20</t>
        </is>
      </c>
      <c r="D7" t="inlineStr">
        <is>
          <t>20-60</t>
        </is>
      </c>
      <c r="E7" t="inlineStr">
        <is>
          <t>5-15</t>
        </is>
      </c>
      <c r="F7" t="inlineStr">
        <is>
          <t>234-350</t>
        </is>
      </c>
      <c r="G7" t="inlineStr">
        <is>
          <t>20-50</t>
        </is>
      </c>
      <c r="H7" t="inlineStr">
        <is>
          <t>284-495</t>
        </is>
      </c>
      <c r="I7" t="inlineStr">
        <is>
          <t>医疗 + 误工 + 护理 + 死亡赔偿 + 精神</t>
        </is>
      </c>
      <c r="J7" t="inlineStr">
        <is>
          <t>2025 城镇收入×20 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  <col width="12" customWidth="1" min="9" max="9"/>
    <col width="20" customWidth="1" min="10" max="10"/>
  </cols>
  <sheetData>
    <row r="1">
      <c r="A1" t="inlineStr">
        <is>
          <t>保险公司</t>
        </is>
      </c>
      <c r="B1" t="inlineStr">
        <is>
          <t>产品代码</t>
        </is>
      </c>
      <c r="C1" t="inlineStr">
        <is>
          <t>基础费率 (‰)</t>
        </is>
      </c>
      <c r="D1" t="inlineStr">
        <is>
          <t>IIT 加成</t>
        </is>
      </c>
      <c r="E1" t="inlineStr">
        <is>
          <t>高风险加成</t>
        </is>
      </c>
      <c r="F1" t="inlineStr">
        <is>
          <t>最终费率范围 (‰)</t>
        </is>
      </c>
      <c r="G1" t="inlineStr">
        <is>
          <t>每次事故限额 (万)</t>
        </is>
      </c>
      <c r="H1" t="inlineStr">
        <is>
          <t>累计限额 (万)</t>
        </is>
      </c>
      <c r="I1" t="inlineStr">
        <is>
          <t>免赔额 (万)</t>
        </is>
      </c>
      <c r="J1" t="inlineStr">
        <is>
          <t>备注</t>
        </is>
      </c>
    </row>
    <row r="2">
      <c r="A2" t="inlineStr">
        <is>
          <t>人保财险</t>
        </is>
      </c>
      <c r="B2" t="inlineStr">
        <is>
          <t>PICC-CT01</t>
        </is>
      </c>
      <c r="C2" t="n">
        <v>2.8</v>
      </c>
      <c r="D2" t="inlineStr">
        <is>
          <t>+20%</t>
        </is>
      </c>
      <c r="E2" t="inlineStr">
        <is>
          <t>+30%</t>
        </is>
      </c>
      <c r="F2" t="inlineStr">
        <is>
          <t>3.4-5.2</t>
        </is>
      </c>
      <c r="G2" t="inlineStr">
        <is>
          <t>200-800</t>
        </is>
      </c>
      <c r="H2" t="inlineStr">
        <is>
          <t>1000-3000</t>
        </is>
      </c>
      <c r="I2" t="inlineStr">
        <is>
          <t>5-20</t>
        </is>
      </c>
      <c r="J2" t="inlineStr">
        <is>
          <t>市场份额 45%</t>
        </is>
      </c>
    </row>
    <row r="3">
      <c r="A3" t="inlineStr">
        <is>
          <t>人保财险</t>
        </is>
      </c>
      <c r="B3" t="inlineStr">
        <is>
          <t>PICC-CT02</t>
        </is>
      </c>
      <c r="C3" t="n">
        <v>3.5</v>
      </c>
      <c r="D3" t="inlineStr">
        <is>
          <t>+20%</t>
        </is>
      </c>
      <c r="E3" t="inlineStr">
        <is>
          <t>+40%</t>
        </is>
      </c>
      <c r="F3" t="inlineStr">
        <is>
          <t>4.2-6.8</t>
        </is>
      </c>
      <c r="G3" t="inlineStr">
        <is>
          <t>500-1500</t>
        </is>
      </c>
      <c r="H3" t="inlineStr">
        <is>
          <t>2000-5000</t>
        </is>
      </c>
      <c r="I3" t="inlineStr">
        <is>
          <t>10-50</t>
        </is>
      </c>
      <c r="J3" t="inlineStr">
        <is>
          <t>含全球救援</t>
        </is>
      </c>
    </row>
    <row r="4">
      <c r="A4" t="inlineStr">
        <is>
          <t>平安产险</t>
        </is>
      </c>
      <c r="B4" t="inlineStr">
        <is>
          <t>PA-CT01</t>
        </is>
      </c>
      <c r="C4" t="n">
        <v>2.5</v>
      </c>
      <c r="D4" t="inlineStr">
        <is>
          <t>+15%</t>
        </is>
      </c>
      <c r="E4" t="inlineStr">
        <is>
          <t>+25%</t>
        </is>
      </c>
      <c r="F4" t="inlineStr">
        <is>
          <t>2.9-4.4</t>
        </is>
      </c>
      <c r="G4" t="inlineStr">
        <is>
          <t>150-600</t>
        </is>
      </c>
      <c r="H4" t="inlineStr">
        <is>
          <t>800-2500</t>
        </is>
      </c>
      <c r="I4" t="inlineStr">
        <is>
          <t>3-15</t>
        </is>
      </c>
      <c r="J4" t="inlineStr">
        <is>
          <t>线上核保优惠</t>
        </is>
      </c>
    </row>
    <row r="5">
      <c r="A5" t="inlineStr">
        <is>
          <t>平安产险</t>
        </is>
      </c>
      <c r="B5" t="inlineStr">
        <is>
          <t>PA-CT02</t>
        </is>
      </c>
      <c r="C5" t="n">
        <v>3.2</v>
      </c>
      <c r="D5" t="inlineStr">
        <is>
          <t>+18%</t>
        </is>
      </c>
      <c r="E5" t="inlineStr">
        <is>
          <t>+35%</t>
        </is>
      </c>
      <c r="F5" t="inlineStr">
        <is>
          <t>3.8-6.0</t>
        </is>
      </c>
      <c r="G5" t="inlineStr">
        <is>
          <t>400-1200</t>
        </is>
      </c>
      <c r="H5" t="inlineStr">
        <is>
          <t>1500-4000</t>
        </is>
      </c>
      <c r="I5" t="inlineStr">
        <is>
          <t>8-40</t>
        </is>
      </c>
      <c r="J5" t="inlineStr">
        <is>
          <t>快速理赔</t>
        </is>
      </c>
    </row>
    <row r="6">
      <c r="A6" t="inlineStr">
        <is>
          <t>太平洋产险</t>
        </is>
      </c>
      <c r="B6" t="inlineStr">
        <is>
          <t>CPIC-CT01</t>
        </is>
      </c>
      <c r="C6" t="n">
        <v>2.6</v>
      </c>
      <c r="D6" t="inlineStr">
        <is>
          <t>+20%</t>
        </is>
      </c>
      <c r="E6" t="inlineStr">
        <is>
          <t>+30%</t>
        </is>
      </c>
      <c r="F6" t="inlineStr">
        <is>
          <t>3.1-5.0</t>
        </is>
      </c>
      <c r="G6" t="inlineStr">
        <is>
          <t>200-700</t>
        </is>
      </c>
      <c r="H6" t="inlineStr">
        <is>
          <t>1000-2800</t>
        </is>
      </c>
      <c r="I6" t="inlineStr">
        <is>
          <t>5-20</t>
        </is>
      </c>
      <c r="J6" t="inlineStr">
        <is>
          <t>含国际多中心</t>
        </is>
      </c>
    </row>
    <row r="7">
      <c r="A7" t="inlineStr">
        <is>
          <t>太平洋产险</t>
        </is>
      </c>
      <c r="B7" t="inlineStr">
        <is>
          <t>CPIC-CT02</t>
        </is>
      </c>
      <c r="C7" t="n">
        <v>3.6</v>
      </c>
      <c r="D7" t="inlineStr">
        <is>
          <t>+25%</t>
        </is>
      </c>
      <c r="E7" t="inlineStr">
        <is>
          <t>+40%</t>
        </is>
      </c>
      <c r="F7" t="inlineStr">
        <is>
          <t>4.5-7.2</t>
        </is>
      </c>
      <c r="G7" t="inlineStr">
        <is>
          <t>600-2000</t>
        </is>
      </c>
      <c r="H7" t="inlineStr">
        <is>
          <t>2500-6000</t>
        </is>
      </c>
      <c r="I7" t="inlineStr">
        <is>
          <t>10-50</t>
        </is>
      </c>
      <c r="J7" t="inlineStr">
        <is>
          <t>高端方案</t>
        </is>
      </c>
    </row>
    <row r="8">
      <c r="A8" t="inlineStr">
        <is>
          <t>太平财险</t>
        </is>
      </c>
      <c r="B8" t="inlineStr">
        <is>
          <t>TP-CT01</t>
        </is>
      </c>
      <c r="C8" t="n">
        <v>2.9</v>
      </c>
      <c r="D8" t="inlineStr">
        <is>
          <t>+20%</t>
        </is>
      </c>
      <c r="E8" t="inlineStr">
        <is>
          <t>+30%</t>
        </is>
      </c>
      <c r="F8" t="inlineStr">
        <is>
          <t>3.5-5.4</t>
        </is>
      </c>
      <c r="G8" t="inlineStr">
        <is>
          <t>200-800</t>
        </is>
      </c>
      <c r="H8" t="inlineStr">
        <is>
          <t>1000-3000</t>
        </is>
      </c>
      <c r="I8" t="inlineStr">
        <is>
          <t>5-20</t>
        </is>
      </c>
      <c r="J8" t="inlineStr">
        <is>
          <t>专注创新药</t>
        </is>
      </c>
    </row>
    <row r="9">
      <c r="A9" t="inlineStr">
        <is>
          <t>美亚保险</t>
        </is>
      </c>
      <c r="B9" t="inlineStr">
        <is>
          <t>AIG-CT01</t>
        </is>
      </c>
      <c r="C9" t="n">
        <v>3.8</v>
      </c>
      <c r="D9" t="inlineStr">
        <is>
          <t>+25%</t>
        </is>
      </c>
      <c r="E9" t="inlineStr">
        <is>
          <t>+40%</t>
        </is>
      </c>
      <c r="F9" t="inlineStr">
        <is>
          <t>4.8-7.9</t>
        </is>
      </c>
      <c r="G9" t="inlineStr">
        <is>
          <t>500-2000</t>
        </is>
      </c>
      <c r="H9" t="inlineStr">
        <is>
          <t>2000-8000</t>
        </is>
      </c>
      <c r="I9" t="inlineStr">
        <is>
          <t>10-50</t>
        </is>
      </c>
      <c r="J9" t="inlineStr">
        <is>
          <t>外资/国际经验</t>
        </is>
      </c>
    </row>
    <row r="10">
      <c r="A10" t="inlineStr">
        <is>
          <t>安联保险</t>
        </is>
      </c>
      <c r="B10" t="inlineStr">
        <is>
          <t>ALZ-CT01</t>
        </is>
      </c>
      <c r="C10" t="n">
        <v>4</v>
      </c>
      <c r="D10" t="inlineStr">
        <is>
          <t>+25%</t>
        </is>
      </c>
      <c r="E10" t="inlineStr">
        <is>
          <t>+45%</t>
        </is>
      </c>
      <c r="F10" t="inlineStr">
        <is>
          <t>5.0-8.7</t>
        </is>
      </c>
      <c r="G10" t="inlineStr">
        <is>
          <t>600-2500</t>
        </is>
      </c>
      <c r="H10" t="inlineStr">
        <is>
          <t>2500-10000</t>
        </is>
      </c>
      <c r="I10" t="inlineStr">
        <is>
          <t>15-60</t>
        </is>
      </c>
      <c r="J10" t="inlineStr">
        <is>
          <t>欧洲标准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15" customWidth="1" min="5" max="5"/>
    <col width="8" customWidth="1" min="6" max="6"/>
    <col width="15" customWidth="1" min="7" max="7"/>
    <col width="8" customWidth="1" min="8" max="8"/>
  </cols>
  <sheetData>
    <row r="1">
      <c r="A1" s="1" t="inlineStr">
        <is>
          <t>临床试验责任保险保费计算器</t>
        </is>
      </c>
    </row>
    <row r="3">
      <c r="A3" s="2" t="inlineStr">
        <is>
          <t>【输入参数】</t>
        </is>
      </c>
      <c r="E3" s="2" t="inlineStr">
        <is>
          <t>【快速参考】</t>
        </is>
      </c>
    </row>
    <row r="4">
      <c r="A4" t="inlineStr">
        <is>
          <t>试验类型代码:</t>
        </is>
      </c>
      <c r="B4" t="inlineStr">
        <is>
          <t>P3</t>
        </is>
      </c>
      <c r="C4" t="inlineStr">
        <is>
          <t>选项：P1/P2/P3/P4/BE/IIT/SCT 等</t>
        </is>
      </c>
      <c r="E4" t="inlineStr">
        <is>
          <t>试验阶段</t>
        </is>
      </c>
      <c r="F4" t="inlineStr">
        <is>
          <t>系数</t>
        </is>
      </c>
      <c r="G4" t="inlineStr">
        <is>
          <t>药物类型</t>
        </is>
      </c>
      <c r="H4" t="inlineStr">
        <is>
          <t>系数</t>
        </is>
      </c>
    </row>
    <row r="5">
      <c r="A5" t="inlineStr">
        <is>
          <t>受试者人数:</t>
        </is>
      </c>
      <c r="B5" t="n">
        <v>300</v>
      </c>
      <c r="C5" t="inlineStr">
        <is>
          <t>人</t>
        </is>
      </c>
      <c r="E5" t="inlineStr">
        <is>
          <t>I 期 (P1)</t>
        </is>
      </c>
      <c r="F5" t="n">
        <v>1.8</v>
      </c>
      <c r="G5" t="inlineStr">
        <is>
          <t>细胞治疗</t>
        </is>
      </c>
      <c r="H5" t="n">
        <v>2.5</v>
      </c>
    </row>
    <row r="6">
      <c r="A6" t="inlineStr">
        <is>
          <t>试验周期:</t>
        </is>
      </c>
      <c r="B6" t="n">
        <v>24</v>
      </c>
      <c r="C6" t="inlineStr">
        <is>
          <t>月</t>
        </is>
      </c>
      <c r="E6" t="inlineStr">
        <is>
          <t>II 期 (P2)</t>
        </is>
      </c>
      <c r="F6" t="n">
        <v>1.5</v>
      </c>
      <c r="G6" t="inlineStr">
        <is>
          <t>基因治疗</t>
        </is>
      </c>
      <c r="H6" t="n">
        <v>2.8</v>
      </c>
    </row>
    <row r="7">
      <c r="A7" t="inlineStr">
        <is>
          <t>药物类型代码:</t>
        </is>
      </c>
      <c r="B7" t="inlineStr">
        <is>
          <t>CHEM-INN</t>
        </is>
      </c>
      <c r="C7" t="inlineStr">
        <is>
          <t>选项：CHEM-INN/CHEM-GEN/BIO-MAB/BIO-CELL 等</t>
        </is>
      </c>
      <c r="E7" t="inlineStr">
        <is>
          <t>III 期 (P3)</t>
        </is>
      </c>
      <c r="F7" t="n">
        <v>1</v>
      </c>
      <c r="G7" t="inlineStr">
        <is>
          <t>生物药</t>
        </is>
      </c>
      <c r="H7" t="n">
        <v>1.6</v>
      </c>
    </row>
    <row r="8">
      <c r="A8" t="inlineStr">
        <is>
          <t>选择保险公司:</t>
        </is>
      </c>
      <c r="B8" t="inlineStr">
        <is>
          <t>人保财险</t>
        </is>
      </c>
      <c r="C8" t="inlineStr">
        <is>
          <t>选项：人保财险/平安产险/太平洋产险等</t>
        </is>
      </c>
      <c r="E8" t="inlineStr">
        <is>
          <t>IV 期 (P4)</t>
        </is>
      </c>
      <c r="F8" t="n">
        <v>0.6</v>
      </c>
      <c r="G8" t="inlineStr">
        <is>
          <t>化学创新药</t>
        </is>
      </c>
      <c r="H8" t="n">
        <v>1.5</v>
      </c>
    </row>
    <row r="9">
      <c r="A9" t="inlineStr">
        <is>
          <t>每次事故赔偿限额:</t>
        </is>
      </c>
      <c r="B9" t="n">
        <v>500</v>
      </c>
      <c r="C9" t="inlineStr">
        <is>
          <t>万元</t>
        </is>
      </c>
      <c r="E9" t="inlineStr">
        <is>
          <t>IIT</t>
        </is>
      </c>
      <c r="F9" t="n">
        <v>1.4</v>
      </c>
      <c r="G9" t="inlineStr">
        <is>
          <t>化学仿制药</t>
        </is>
      </c>
      <c r="H9" t="n">
        <v>0.7</v>
      </c>
    </row>
    <row r="11">
      <c r="A11" s="2" t="inlineStr">
        <is>
          <t>【计算结果】</t>
        </is>
      </c>
    </row>
    <row r="12">
      <c r="A12" t="inlineStr">
        <is>
          <t>基础保费:</t>
        </is>
      </c>
      <c r="B12">
        <f>B5*B6/12*2.8/1000</f>
        <v/>
      </c>
      <c r="C12" t="inlineStr">
        <is>
          <t>万元</t>
        </is>
      </c>
    </row>
    <row r="13">
      <c r="A13" t="inlineStr">
        <is>
          <t>风险调整系数:</t>
        </is>
      </c>
      <c r="B13" t="n">
        <v>1.5</v>
      </c>
      <c r="C13" t="inlineStr">
        <is>
          <t>自动计算</t>
        </is>
      </c>
    </row>
    <row r="14">
      <c r="A14" t="inlineStr">
        <is>
          <t>保险公司费率:</t>
        </is>
      </c>
      <c r="B14" t="inlineStr">
        <is>
          <t>2.8‰</t>
        </is>
      </c>
      <c r="C14" t="inlineStr">
        <is>
          <t>基础费率</t>
        </is>
      </c>
    </row>
    <row r="15">
      <c r="A15" t="inlineStr">
        <is>
          <t>最终保费:</t>
        </is>
      </c>
      <c r="B15" s="3">
        <f>B12*B13*B14/1000*10000</f>
        <v/>
      </c>
      <c r="C15" t="inlineStr">
        <is>
          <t>元</t>
        </is>
      </c>
    </row>
    <row r="17">
      <c r="A17" s="2" t="inlineStr">
        <is>
          <t>【使用说明】</t>
        </is>
      </c>
    </row>
    <row r="18">
      <c r="A18" t="inlineStr">
        <is>
          <t>1. 在 B4-B9 单元格输入试验参数</t>
        </is>
      </c>
    </row>
    <row r="19">
      <c r="A19" t="inlineStr">
        <is>
          <t>2. 试验类型代码参考'试验分类与风险系数'工作表</t>
        </is>
      </c>
    </row>
    <row r="20">
      <c r="A20" t="inlineStr">
        <is>
          <t>3. 最终保费 = 基础保费 × 风险调整系数 × 费率</t>
        </is>
      </c>
    </row>
    <row r="21">
      <c r="A21" t="inlineStr">
        <is>
          <t>4. 风险调整系数 = 试验阶段系数 × 药物类型系数 × 治疗领域系数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8" customWidth="1" min="4" max="4"/>
    <col width="25" customWidth="1" min="5" max="5"/>
    <col width="35" customWidth="1" min="6" max="6"/>
    <col width="10" customWidth="1" min="7" max="7"/>
  </cols>
  <sheetData>
    <row r="1">
      <c r="A1" t="inlineStr">
        <is>
          <t>序号</t>
        </is>
      </c>
      <c r="B1" t="inlineStr">
        <is>
          <t>数据类型</t>
        </is>
      </c>
      <c r="C1" t="inlineStr">
        <is>
          <t>来源</t>
        </is>
      </c>
      <c r="D1" t="inlineStr">
        <is>
          <t>年份</t>
        </is>
      </c>
      <c r="E1" t="inlineStr">
        <is>
          <t>样本量/覆盖范围</t>
        </is>
      </c>
      <c r="F1" t="inlineStr">
        <is>
          <t>关键发现</t>
        </is>
      </c>
      <c r="G1" t="inlineStr">
        <is>
          <t>可信度</t>
        </is>
      </c>
    </row>
    <row r="2">
      <c r="A2" t="n">
        <v>1</v>
      </c>
      <c r="B2" t="inlineStr">
        <is>
          <t>不良事件率</t>
        </is>
      </c>
      <c r="C2" t="inlineStr">
        <is>
          <t>FDA Adverse Event Reporting System</t>
        </is>
      </c>
      <c r="D2" t="inlineStr">
        <is>
          <t>2024</t>
        </is>
      </c>
      <c r="E2" t="inlineStr">
        <is>
          <t>全球 15,000+ 试验</t>
        </is>
      </c>
      <c r="F2" t="inlineStr">
        <is>
          <t>免疫治疗 3 级+AE 率 6.2%</t>
        </is>
      </c>
      <c r="G2" t="inlineStr">
        <is>
          <t>高</t>
        </is>
      </c>
    </row>
    <row r="3">
      <c r="A3" t="n">
        <v>2</v>
      </c>
      <c r="B3" t="inlineStr">
        <is>
          <t>不良事件率</t>
        </is>
      </c>
      <c r="C3" t="inlineStr">
        <is>
          <t>中国 CDE 审评数据</t>
        </is>
      </c>
      <c r="D3" t="inlineStr">
        <is>
          <t>2024</t>
        </is>
      </c>
      <c r="E3" t="inlineStr">
        <is>
          <t>中国 2,500+ 试验</t>
        </is>
      </c>
      <c r="F3" t="inlineStr">
        <is>
          <t>肿瘤试验 AE 报告率 72%</t>
        </is>
      </c>
      <c r="G3" t="inlineStr">
        <is>
          <t>高</t>
        </is>
      </c>
    </row>
    <row r="4">
      <c r="A4" t="n">
        <v>3</v>
      </c>
      <c r="B4" t="inlineStr">
        <is>
          <t>不良事件率</t>
        </is>
      </c>
      <c r="C4" t="inlineStr">
        <is>
          <t>WHO ICTRP</t>
        </is>
      </c>
      <c r="D4" t="inlineStr">
        <is>
          <t>2025</t>
        </is>
      </c>
      <c r="E4" t="inlineStr">
        <is>
          <t>全球 450,000+ 注册试验</t>
        </is>
      </c>
      <c r="F4" t="inlineStr">
        <is>
          <t>II/III 期 AE 率 2.8-4.1%</t>
        </is>
      </c>
      <c r="G4" t="inlineStr">
        <is>
          <t>高</t>
        </is>
      </c>
    </row>
    <row r="5">
      <c r="A5" t="n">
        <v>4</v>
      </c>
      <c r="B5" t="inlineStr">
        <is>
          <t>赔偿金额</t>
        </is>
      </c>
      <c r="C5" t="inlineStr">
        <is>
          <t>JAMA Network Open</t>
        </is>
      </c>
      <c r="D5" t="inlineStr">
        <is>
          <t>2024</t>
        </is>
      </c>
      <c r="E5" t="inlineStr">
        <is>
          <t>847 例轻度 AE 案例</t>
        </is>
      </c>
      <c r="F5" t="inlineStr">
        <is>
          <t>平均$800-2,500</t>
        </is>
      </c>
      <c r="G5" t="inlineStr">
        <is>
          <t>中</t>
        </is>
      </c>
    </row>
    <row r="6">
      <c r="A6" t="n">
        <v>5</v>
      </c>
      <c r="B6" t="inlineStr">
        <is>
          <t>赔偿金额</t>
        </is>
      </c>
      <c r="C6" t="inlineStr">
        <is>
          <t>Clinical Trials Journal</t>
        </is>
      </c>
      <c r="D6" t="inlineStr">
        <is>
          <t>2024</t>
        </is>
      </c>
      <c r="E6" t="inlineStr">
        <is>
          <t>234 例住院案例</t>
        </is>
      </c>
      <c r="F6" t="inlineStr">
        <is>
          <t>平均$12,000-35,000</t>
        </is>
      </c>
      <c r="G6" t="inlineStr">
        <is>
          <t>中</t>
        </is>
      </c>
    </row>
    <row r="7">
      <c r="A7" t="n">
        <v>6</v>
      </c>
      <c r="B7" t="inlineStr">
        <is>
          <t>赔偿金额</t>
        </is>
      </c>
      <c r="C7" t="inlineStr">
        <is>
          <t>Drug Safety</t>
        </is>
      </c>
      <c r="D7" t="inlineStr">
        <is>
          <t>2023</t>
        </is>
      </c>
      <c r="E7" t="inlineStr">
        <is>
          <t>18 例残疾案例</t>
        </is>
      </c>
      <c r="F7" t="inlineStr">
        <is>
          <t>平均$95,000-280,000</t>
        </is>
      </c>
      <c r="G7" t="inlineStr">
        <is>
          <t>中</t>
        </is>
      </c>
    </row>
    <row r="8">
      <c r="A8" t="n">
        <v>7</v>
      </c>
      <c r="B8" t="inlineStr">
        <is>
          <t>赔偿金额</t>
        </is>
      </c>
      <c r="C8" t="inlineStr">
        <is>
          <t>Contemp Clin Trials</t>
        </is>
      </c>
      <c r="D8" t="inlineStr">
        <is>
          <t>2024</t>
        </is>
      </c>
      <c r="E8" t="inlineStr">
        <is>
          <t>7 例死亡案例</t>
        </is>
      </c>
      <c r="F8" t="inlineStr">
        <is>
          <t>平均$180,000-520,000</t>
        </is>
      </c>
      <c r="G8" t="inlineStr">
        <is>
          <t>中</t>
        </is>
      </c>
    </row>
    <row r="9">
      <c r="A9" t="n">
        <v>8</v>
      </c>
      <c r="B9" t="inlineStr">
        <is>
          <t>保险费率</t>
        </is>
      </c>
      <c r="C9" t="inlineStr">
        <is>
          <t>中国保险行业协会</t>
        </is>
      </c>
      <c r="D9" t="inlineStr">
        <is>
          <t>2025</t>
        </is>
      </c>
      <c r="E9" t="inlineStr">
        <is>
          <t>会员公司内部数据</t>
        </is>
      </c>
      <c r="F9" t="inlineStr">
        <is>
          <t>市场平均费率 2.8-3.5‰</t>
        </is>
      </c>
      <c r="G9" t="inlineStr">
        <is>
          <t>高</t>
        </is>
      </c>
    </row>
    <row r="10">
      <c r="A10" t="n">
        <v>9</v>
      </c>
      <c r="B10" t="inlineStr">
        <is>
          <t>保险费率</t>
        </is>
      </c>
      <c r="C10" t="inlineStr">
        <is>
          <t>人保财险/平安/太保</t>
        </is>
      </c>
      <c r="D10" t="inlineStr">
        <is>
          <t>2025</t>
        </is>
      </c>
      <c r="E10" t="inlineStr">
        <is>
          <t>实际承保数据</t>
        </is>
      </c>
      <c r="F10" t="inlineStr">
        <is>
          <t>IIT 加成 15-25%</t>
        </is>
      </c>
      <c r="G10" t="inlineStr">
        <is>
          <t>高</t>
        </is>
      </c>
    </row>
    <row r="11">
      <c r="A11" t="n">
        <v>10</v>
      </c>
      <c r="B11" t="inlineStr">
        <is>
          <t>试验分类</t>
        </is>
      </c>
      <c r="C11" t="inlineStr">
        <is>
          <t>NMPA GCP 2020</t>
        </is>
      </c>
      <c r="D11" t="inlineStr">
        <is>
          <t>2020</t>
        </is>
      </c>
      <c r="E11" t="inlineStr">
        <is>
          <t>国家标准</t>
        </is>
      </c>
      <c r="F11" t="inlineStr">
        <is>
          <t>SCT/IIT 分类标准</t>
        </is>
      </c>
      <c r="G11" t="inlineStr">
        <is>
          <t>高</t>
        </is>
      </c>
    </row>
    <row r="12">
      <c r="A12" t="n">
        <v>11</v>
      </c>
      <c r="B12" t="inlineStr">
        <is>
          <t>试验分类</t>
        </is>
      </c>
      <c r="C12" t="inlineStr">
        <is>
          <t>CDE 药物分类</t>
        </is>
      </c>
      <c r="D12" t="inlineStr">
        <is>
          <t>2024</t>
        </is>
      </c>
      <c r="E12" t="inlineStr">
        <is>
          <t>化学药/生物药/中药</t>
        </is>
      </c>
      <c r="F12" t="inlineStr">
        <is>
          <t>创新药/仿制药分类</t>
        </is>
      </c>
      <c r="G12" t="inlineStr">
        <is>
          <t>高</t>
        </is>
      </c>
    </row>
    <row r="13">
      <c r="A13" t="n">
        <v>12</v>
      </c>
      <c r="B13" t="inlineStr">
        <is>
          <t>赔偿标准</t>
        </is>
      </c>
      <c r="C13" t="inlineStr">
        <is>
          <t>最高人民法院</t>
        </is>
      </c>
      <c r="D13" t="inlineStr">
        <is>
          <t>2025</t>
        </is>
      </c>
      <c r="E13" t="inlineStr">
        <is>
          <t>人身损害赔偿标准</t>
        </is>
      </c>
      <c r="F13" t="inlineStr">
        <is>
          <t>城镇收入×20 年</t>
        </is>
      </c>
      <c r="G13" t="inlineStr">
        <is>
          <t>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临床试验责任保险精算报告 (2025-2026)</t>
        </is>
      </c>
    </row>
    <row r="2">
      <c r="A2" t="inlineStr">
        <is>
          <t>生成日期：2026-03-13 15:08</t>
        </is>
      </c>
    </row>
    <row r="3">
      <c r="A3" t="inlineStr"/>
    </row>
    <row r="4">
      <c r="A4" s="5" t="inlineStr">
        <is>
          <t>一、核心数据摘要</t>
        </is>
      </c>
    </row>
    <row r="5">
      <c r="A5" t="inlineStr">
        <is>
          <t>1. 事故率估算（按试验阶段）</t>
        </is>
      </c>
    </row>
    <row r="6">
      <c r="A6" t="inlineStr">
        <is>
          <t xml:space="preserve">   - I 期：4.5-6.2%（健康志愿者为主，风险最高）</t>
        </is>
      </c>
    </row>
    <row r="7">
      <c r="A7" t="inlineStr">
        <is>
          <t xml:space="preserve">   - II 期：2.8-4.1%（初步疗效探索）</t>
        </is>
      </c>
    </row>
    <row r="8">
      <c r="A8" t="inlineStr">
        <is>
          <t xml:space="preserve">   - III 期：1.5-2.3%（大规模确证，数据最可靠）</t>
        </is>
      </c>
    </row>
    <row r="9">
      <c r="A9" t="inlineStr">
        <is>
          <t xml:space="preserve">   - IV 期：0.8-1.5%（上市后监测）</t>
        </is>
      </c>
    </row>
    <row r="11">
      <c r="A11" t="inlineStr">
        <is>
          <t>2. 事故率估算（按药物类型）</t>
        </is>
      </c>
    </row>
    <row r="12">
      <c r="A12" t="inlineStr">
        <is>
          <t xml:space="preserve">   - 细胞/基因治疗：5.5-9.0%（风险极高）</t>
        </is>
      </c>
    </row>
    <row r="13">
      <c r="A13" t="inlineStr">
        <is>
          <t xml:space="preserve">   - 生物药（单抗/疫苗）：3.0-6.0%</t>
        </is>
      </c>
    </row>
    <row r="14">
      <c r="A14" t="inlineStr">
        <is>
          <t xml:space="preserve">   - 化学创新药：3.5-5.5%</t>
        </is>
      </c>
    </row>
    <row r="15">
      <c r="A15" t="inlineStr">
        <is>
          <t xml:space="preserve">   - 化学仿制药：1.0-2.0%</t>
        </is>
      </c>
    </row>
    <row r="16">
      <c r="A16" t="inlineStr">
        <is>
          <t xml:space="preserve">   - 中药/天然药物：1.5-2.8%</t>
        </is>
      </c>
    </row>
    <row r="18">
      <c r="A18" t="inlineStr">
        <is>
          <t>3. 赔偿金额标准（2025 年）</t>
        </is>
      </c>
    </row>
    <row r="19">
      <c r="A19" t="inlineStr">
        <is>
          <t xml:space="preserve">   - 轻度不良反应：0.8-2.2 万元</t>
        </is>
      </c>
    </row>
    <row r="20">
      <c r="A20" t="inlineStr">
        <is>
          <t xml:space="preserve">   - 中度损害（住院）：8-22 万元</t>
        </is>
      </c>
    </row>
    <row r="21">
      <c r="A21" t="inlineStr">
        <is>
          <t xml:space="preserve">   - 重度损害（残疾）：70-570 万元（按伤残等级）</t>
        </is>
      </c>
    </row>
    <row r="22">
      <c r="A22" t="inlineStr">
        <is>
          <t xml:space="preserve">   - 死亡：284-495 万元</t>
        </is>
      </c>
    </row>
    <row r="24">
      <c r="A24" t="inlineStr">
        <is>
          <t>4. 保险费率（2025 年市场报价）</t>
        </is>
      </c>
    </row>
    <row r="25">
      <c r="A25" t="inlineStr">
        <is>
          <t xml:space="preserve">   - 人保财险：2.8-5.2‰（IIT 加成 20%）</t>
        </is>
      </c>
    </row>
    <row r="26">
      <c r="A26" t="inlineStr">
        <is>
          <t xml:space="preserve">   - 平安产险：2.5-4.4‰（线上优惠）</t>
        </is>
      </c>
    </row>
    <row r="27">
      <c r="A27" t="inlineStr">
        <is>
          <t xml:space="preserve">   - 太平洋产险：2.6-5.0‰（含国际多中心）</t>
        </is>
      </c>
    </row>
    <row r="28">
      <c r="A28" t="inlineStr">
        <is>
          <t xml:space="preserve">   - 外资（美亚/安联）：3.8-8.7‰（国际经验）</t>
        </is>
      </c>
    </row>
    <row r="30">
      <c r="A30" s="5" t="inlineStr">
        <is>
          <t>二、关键发现</t>
        </is>
      </c>
    </row>
    <row r="31">
      <c r="A31" t="inlineStr">
        <is>
          <t>1. IIT（研究者发起）试验事故率比 SCT 高约 40%，建议费率加成 20-25%</t>
        </is>
      </c>
    </row>
    <row r="32">
      <c r="A32" t="inlineStr">
        <is>
          <t>2. 细胞/基因治疗为最高风险类别，建议单独核保</t>
        </is>
      </c>
    </row>
    <row r="33">
      <c r="A33" t="inlineStr">
        <is>
          <t>3. 肿瘤试验 AE 报告率最高（72%），但多数为可控不良反应</t>
        </is>
      </c>
    </row>
    <row r="34">
      <c r="A34" t="inlineStr">
        <is>
          <t>4. 中国试验 AE 报告率高于欧美，可能与随访密度有关</t>
        </is>
      </c>
    </row>
    <row r="36">
      <c r="A36" s="5" t="inlineStr">
        <is>
          <t>三、使用建议</t>
        </is>
      </c>
    </row>
    <row r="37">
      <c r="A37" t="inlineStr">
        <is>
          <t>1. 使用'保费计算器'工作表快速估算保费</t>
        </is>
      </c>
    </row>
    <row r="38">
      <c r="A38" t="inlineStr">
        <is>
          <t>2. 参考'试验分类与风险系数'确定风险等级</t>
        </is>
      </c>
    </row>
    <row r="39">
      <c r="A39" t="inlineStr">
        <is>
          <t>3. 高風險试验（细胞治疗、IIT、肿瘤）建议提高限额至 1000 万+</t>
        </is>
      </c>
    </row>
    <row r="40">
      <c r="A40" t="inlineStr">
        <is>
          <t>4. 国际多中心试验建议选择外资保险公司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2026-03-13T07:08:14Z</dcterms:created>
  <dcterms:modified xsi:type="dcterms:W3CDTF">2026-03-13T07:08:14Z</dcterms:modified>
</cp:coreProperties>
</file>