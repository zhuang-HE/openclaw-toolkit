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验分类与保费计算" sheetId="1" state="visible" r:id="rId1"/>
    <sheet xmlns:r="http://schemas.openxmlformats.org/officeDocument/2006/relationships" name="赔偿标准与保险费率" sheetId="2" state="visible" r:id="rId2"/>
    <sheet xmlns:r="http://schemas.openxmlformats.org/officeDocument/2006/relationships" name="数据来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  <font>
      <b val="1"/>
      <color rgb="00FF0000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0" customWidth="1" min="4" max="4"/>
    <col width="10" customWidth="1" min="5" max="5"/>
    <col width="15" customWidth="1" min="6" max="6"/>
    <col width="12" customWidth="1" min="7" max="7"/>
    <col width="15" customWidth="1" min="8" max="8"/>
  </cols>
  <sheetData>
    <row r="1">
      <c r="A1" s="1" t="inlineStr">
        <is>
          <t>【试验分类与风险系数表】</t>
        </is>
      </c>
    </row>
    <row r="2">
      <c r="A2" t="inlineStr">
        <is>
          <t>分类维度</t>
        </is>
      </c>
      <c r="B2" t="inlineStr">
        <is>
          <t>子类别</t>
        </is>
      </c>
      <c r="C2" t="inlineStr">
        <is>
          <t>代码</t>
        </is>
      </c>
      <c r="D2" t="inlineStr">
        <is>
          <t>风险等级</t>
        </is>
      </c>
      <c r="E2" t="inlineStr">
        <is>
          <t>风险系数</t>
        </is>
      </c>
      <c r="F2" t="inlineStr">
        <is>
          <t>事故率估算 (%)</t>
        </is>
      </c>
      <c r="G2" t="inlineStr">
        <is>
          <t>基础费率 (‰)</t>
        </is>
      </c>
      <c r="H2" t="inlineStr">
        <is>
          <t>数据来源</t>
        </is>
      </c>
    </row>
    <row r="3">
      <c r="A3" t="inlineStr">
        <is>
          <t>试验阶段</t>
        </is>
      </c>
      <c r="B3" t="inlineStr">
        <is>
          <t>I 期临床试验</t>
        </is>
      </c>
      <c r="C3" t="inlineStr">
        <is>
          <t>P1</t>
        </is>
      </c>
      <c r="D3" t="inlineStr">
        <is>
          <t>高</t>
        </is>
      </c>
      <c r="E3" t="n">
        <v>1.8</v>
      </c>
      <c r="F3" t="inlineStr">
        <is>
          <t>4.5-6.2</t>
        </is>
      </c>
      <c r="G3" t="n">
        <v>4.5</v>
      </c>
      <c r="H3" t="inlineStr">
        <is>
          <t>FDA 2024+CDE</t>
        </is>
      </c>
    </row>
    <row r="4">
      <c r="A4" t="inlineStr">
        <is>
          <t>试验阶段</t>
        </is>
      </c>
      <c r="B4" t="inlineStr">
        <is>
          <t>II 期临床试验</t>
        </is>
      </c>
      <c r="C4" t="inlineStr">
        <is>
          <t>P2</t>
        </is>
      </c>
      <c r="D4" t="inlineStr">
        <is>
          <t>中高</t>
        </is>
      </c>
      <c r="E4" t="n">
        <v>1.5</v>
      </c>
      <c r="F4" t="inlineStr">
        <is>
          <t>2.8-4.1</t>
        </is>
      </c>
      <c r="G4" t="n">
        <v>3.8</v>
      </c>
      <c r="H4" t="inlineStr">
        <is>
          <t>WHO ICTRP</t>
        </is>
      </c>
    </row>
    <row r="5">
      <c r="A5" t="inlineStr">
        <is>
          <t>试验阶段</t>
        </is>
      </c>
      <c r="B5" t="inlineStr">
        <is>
          <t>III 期临床试验</t>
        </is>
      </c>
      <c r="C5" t="inlineStr">
        <is>
          <t>P3</t>
        </is>
      </c>
      <c r="D5" t="inlineStr">
        <is>
          <t>中</t>
        </is>
      </c>
      <c r="E5" t="n">
        <v>1</v>
      </c>
      <c r="F5" t="inlineStr">
        <is>
          <t>1.5-2.3</t>
        </is>
      </c>
      <c r="G5" t="n">
        <v>2.8</v>
      </c>
      <c r="H5" t="inlineStr">
        <is>
          <t>NMPA 批准数据</t>
        </is>
      </c>
    </row>
    <row r="6">
      <c r="A6" t="inlineStr">
        <is>
          <t>试验阶段</t>
        </is>
      </c>
      <c r="B6" t="inlineStr">
        <is>
          <t>IV 期临床试验</t>
        </is>
      </c>
      <c r="C6" t="inlineStr">
        <is>
          <t>P4</t>
        </is>
      </c>
      <c r="D6" t="inlineStr">
        <is>
          <t>低</t>
        </is>
      </c>
      <c r="E6" t="n">
        <v>0.6</v>
      </c>
      <c r="F6" t="inlineStr">
        <is>
          <t>0.8-1.5</t>
        </is>
      </c>
      <c r="G6" t="n">
        <v>1.8</v>
      </c>
      <c r="H6" t="inlineStr">
        <is>
          <t>上市后监测</t>
        </is>
      </c>
    </row>
    <row r="7">
      <c r="A7" t="inlineStr">
        <is>
          <t>试验阶段</t>
        </is>
      </c>
      <c r="B7" t="inlineStr">
        <is>
          <t>BE 试验</t>
        </is>
      </c>
      <c r="C7" t="inlineStr">
        <is>
          <t>BE</t>
        </is>
      </c>
      <c r="D7" t="inlineStr">
        <is>
          <t>中</t>
        </is>
      </c>
      <c r="E7" t="n">
        <v>0.9</v>
      </c>
      <c r="F7" t="inlineStr">
        <is>
          <t>1.2-2.0</t>
        </is>
      </c>
      <c r="G7" t="n">
        <v>2.5</v>
      </c>
      <c r="H7" t="inlineStr">
        <is>
          <t>CDE 审评数据</t>
        </is>
      </c>
    </row>
    <row r="8">
      <c r="A8" t="inlineStr">
        <is>
          <t>发起者类型</t>
        </is>
      </c>
      <c r="B8" t="inlineStr">
        <is>
          <t>SCT (申办方发起)</t>
        </is>
      </c>
      <c r="C8" t="inlineStr">
        <is>
          <t>SCT</t>
        </is>
      </c>
      <c r="D8" t="inlineStr">
        <is>
          <t>标准</t>
        </is>
      </c>
      <c r="E8" t="n">
        <v>1</v>
      </c>
      <c r="F8" t="inlineStr">
        <is>
          <t>2.0-3.5</t>
        </is>
      </c>
      <c r="G8" t="n">
        <v>2.8</v>
      </c>
      <c r="H8" t="inlineStr">
        <is>
          <t>行业标准</t>
        </is>
      </c>
    </row>
    <row r="9">
      <c r="A9" t="inlineStr">
        <is>
          <t>发起者类型</t>
        </is>
      </c>
      <c r="B9" t="inlineStr">
        <is>
          <t>IIT (研究者发起)</t>
        </is>
      </c>
      <c r="C9" t="inlineStr">
        <is>
          <t>IIT</t>
        </is>
      </c>
      <c r="D9" t="inlineStr">
        <is>
          <t>中高</t>
        </is>
      </c>
      <c r="E9" t="n">
        <v>1.4</v>
      </c>
      <c r="F9" t="inlineStr">
        <is>
          <t>3.0-5.0</t>
        </is>
      </c>
      <c r="G9" t="n">
        <v>3.5</v>
      </c>
      <c r="H9" t="inlineStr">
        <is>
          <t>Lancet 2025</t>
        </is>
      </c>
    </row>
    <row r="10">
      <c r="A10" t="inlineStr">
        <is>
          <t>药物类型</t>
        </is>
      </c>
      <c r="B10" t="inlineStr">
        <is>
          <t>化学药 - 创新药</t>
        </is>
      </c>
      <c r="C10" t="inlineStr">
        <is>
          <t>CHEM-INN</t>
        </is>
      </c>
      <c r="D10" t="inlineStr">
        <is>
          <t>高</t>
        </is>
      </c>
      <c r="E10" t="n">
        <v>1.6</v>
      </c>
      <c r="F10" t="inlineStr">
        <is>
          <t>3.5-5.5</t>
        </is>
      </c>
      <c r="G10" t="n">
        <v>4</v>
      </c>
      <c r="H10" t="inlineStr">
        <is>
          <t>JAMA 2024</t>
        </is>
      </c>
    </row>
    <row r="11">
      <c r="A11" t="inlineStr">
        <is>
          <t>药物类型</t>
        </is>
      </c>
      <c r="B11" t="inlineStr">
        <is>
          <t>化学药 - 仿制药</t>
        </is>
      </c>
      <c r="C11" t="inlineStr">
        <is>
          <t>CHEM-GEN</t>
        </is>
      </c>
      <c r="D11" t="inlineStr">
        <is>
          <t>低</t>
        </is>
      </c>
      <c r="E11" t="n">
        <v>0.7</v>
      </c>
      <c r="F11" t="inlineStr">
        <is>
          <t>1.0-2.0</t>
        </is>
      </c>
      <c r="G11" t="n">
        <v>1.8</v>
      </c>
      <c r="H11" t="inlineStr">
        <is>
          <t>CDE 审评</t>
        </is>
      </c>
    </row>
    <row r="12">
      <c r="A12" t="inlineStr">
        <is>
          <t>药物类型</t>
        </is>
      </c>
      <c r="B12" t="inlineStr">
        <is>
          <t>生物药 - 单抗</t>
        </is>
      </c>
      <c r="C12" t="inlineStr">
        <is>
          <t>BIO-MAB</t>
        </is>
      </c>
      <c r="D12" t="inlineStr">
        <is>
          <t>高</t>
        </is>
      </c>
      <c r="E12" t="n">
        <v>1.8</v>
      </c>
      <c r="F12" t="inlineStr">
        <is>
          <t>4.0-6.0</t>
        </is>
      </c>
      <c r="G12" t="n">
        <v>4.5</v>
      </c>
      <c r="H12" t="inlineStr">
        <is>
          <t>Lancet 2025</t>
        </is>
      </c>
    </row>
    <row r="13">
      <c r="A13" t="inlineStr">
        <is>
          <t>药物类型</t>
        </is>
      </c>
      <c r="B13" t="inlineStr">
        <is>
          <t>生物药 - 疫苗</t>
        </is>
      </c>
      <c r="C13" t="inlineStr">
        <is>
          <t>BIO-VAC</t>
        </is>
      </c>
      <c r="D13" t="inlineStr">
        <is>
          <t>中高</t>
        </is>
      </c>
      <c r="E13" t="n">
        <v>1.5</v>
      </c>
      <c r="F13" t="inlineStr">
        <is>
          <t>3.0-4.5</t>
        </is>
      </c>
      <c r="G13" t="n">
        <v>3.8</v>
      </c>
      <c r="H13" t="inlineStr">
        <is>
          <t>WHO 数据</t>
        </is>
      </c>
    </row>
    <row r="14">
      <c r="A14" t="inlineStr">
        <is>
          <t>药物类型</t>
        </is>
      </c>
      <c r="B14" t="inlineStr">
        <is>
          <t>生物药 - 细胞治疗</t>
        </is>
      </c>
      <c r="C14" t="inlineStr">
        <is>
          <t>BIO-CELL</t>
        </is>
      </c>
      <c r="D14" t="inlineStr">
        <is>
          <t>极高</t>
        </is>
      </c>
      <c r="E14" t="n">
        <v>2.5</v>
      </c>
      <c r="F14" t="inlineStr">
        <is>
          <t>5.5-8.0</t>
        </is>
      </c>
      <c r="G14" t="n">
        <v>6.5</v>
      </c>
      <c r="H14" t="inlineStr">
        <is>
          <t>Nature Med 2024</t>
        </is>
      </c>
    </row>
    <row r="15">
      <c r="A15" t="inlineStr">
        <is>
          <t>药物类型</t>
        </is>
      </c>
      <c r="B15" t="inlineStr">
        <is>
          <t>生物药 - 基因治疗</t>
        </is>
      </c>
      <c r="C15" t="inlineStr">
        <is>
          <t>BIO-GT</t>
        </is>
      </c>
      <c r="D15" t="inlineStr">
        <is>
          <t>极高</t>
        </is>
      </c>
      <c r="E15" t="n">
        <v>2.8</v>
      </c>
      <c r="F15" t="inlineStr">
        <is>
          <t>6.0-9.0</t>
        </is>
      </c>
      <c r="G15" t="n">
        <v>7</v>
      </c>
      <c r="H15" t="inlineStr">
        <is>
          <t>Nature Med 2024</t>
        </is>
      </c>
    </row>
    <row r="16">
      <c r="A16" t="inlineStr">
        <is>
          <t>药物类型</t>
        </is>
      </c>
      <c r="B16" t="inlineStr">
        <is>
          <t>放射性药物</t>
        </is>
      </c>
      <c r="C16" t="inlineStr">
        <is>
          <t>RAD</t>
        </is>
      </c>
      <c r="D16" t="inlineStr">
        <is>
          <t>高</t>
        </is>
      </c>
      <c r="E16" t="n">
        <v>2</v>
      </c>
      <c r="F16" t="inlineStr">
        <is>
          <t>4.0-6.5</t>
        </is>
      </c>
      <c r="G16" t="n">
        <v>5</v>
      </c>
      <c r="H16" t="inlineStr">
        <is>
          <t>核医学数据</t>
        </is>
      </c>
    </row>
    <row r="17">
      <c r="A17" t="inlineStr">
        <is>
          <t>药物类型</t>
        </is>
      </c>
      <c r="B17" t="inlineStr">
        <is>
          <t>中药/天然药物</t>
        </is>
      </c>
      <c r="C17" t="inlineStr">
        <is>
          <t>TCM</t>
        </is>
      </c>
      <c r="D17" t="inlineStr">
        <is>
          <t>中</t>
        </is>
      </c>
      <c r="E17" t="n">
        <v>0.8</v>
      </c>
      <c r="F17" t="inlineStr">
        <is>
          <t>1.5-2.8</t>
        </is>
      </c>
      <c r="G17" t="n">
        <v>2.2</v>
      </c>
      <c r="H17" t="inlineStr">
        <is>
          <t>CDE 中药</t>
        </is>
      </c>
    </row>
    <row r="18">
      <c r="A18" t="inlineStr">
        <is>
          <t>药物类型</t>
        </is>
      </c>
      <c r="B18" t="inlineStr">
        <is>
          <t>医疗器械 - I 类</t>
        </is>
      </c>
      <c r="C18" t="inlineStr">
        <is>
          <t>DEV-I</t>
        </is>
      </c>
      <c r="D18" t="inlineStr">
        <is>
          <t>低</t>
        </is>
      </c>
      <c r="E18" t="n">
        <v>0.5</v>
      </c>
      <c r="F18" t="inlineStr">
        <is>
          <t>0.5-1.2</t>
        </is>
      </c>
      <c r="G18" t="n">
        <v>1.2</v>
      </c>
      <c r="H18" t="inlineStr">
        <is>
          <t>NMPA 器械</t>
        </is>
      </c>
    </row>
    <row r="19">
      <c r="A19" t="inlineStr">
        <is>
          <t>药物类型</t>
        </is>
      </c>
      <c r="B19" t="inlineStr">
        <is>
          <t>医疗器械 - II 类</t>
        </is>
      </c>
      <c r="C19" t="inlineStr">
        <is>
          <t>DEV-II</t>
        </is>
      </c>
      <c r="D19" t="inlineStr">
        <is>
          <t>中</t>
        </is>
      </c>
      <c r="E19" t="n">
        <v>0.8</v>
      </c>
      <c r="F19" t="inlineStr">
        <is>
          <t>1.2-2.5</t>
        </is>
      </c>
      <c r="G19" t="n">
        <v>2</v>
      </c>
      <c r="H19" t="inlineStr">
        <is>
          <t>NMPA 器械</t>
        </is>
      </c>
    </row>
    <row r="20">
      <c r="A20" t="inlineStr">
        <is>
          <t>药物类型</t>
        </is>
      </c>
      <c r="B20" t="inlineStr">
        <is>
          <t>医疗器械 - III 类</t>
        </is>
      </c>
      <c r="C20" t="inlineStr">
        <is>
          <t>DEV-III</t>
        </is>
      </c>
      <c r="D20" t="inlineStr">
        <is>
          <t>高</t>
        </is>
      </c>
      <c r="E20" t="n">
        <v>1.6</v>
      </c>
      <c r="F20" t="inlineStr">
        <is>
          <t>3.0-5.0</t>
        </is>
      </c>
      <c r="G20" t="n">
        <v>4</v>
      </c>
      <c r="H20" t="inlineStr">
        <is>
          <t>NMPA 器械</t>
        </is>
      </c>
    </row>
    <row r="21">
      <c r="A21" t="inlineStr">
        <is>
          <t>治疗领域</t>
        </is>
      </c>
      <c r="B21" t="inlineStr">
        <is>
          <t>肿瘤</t>
        </is>
      </c>
      <c r="C21" t="inlineStr">
        <is>
          <t>TA-ONC</t>
        </is>
      </c>
      <c r="D21" t="inlineStr">
        <is>
          <t>高</t>
        </is>
      </c>
      <c r="E21" t="n">
        <v>1.8</v>
      </c>
      <c r="F21" t="inlineStr">
        <is>
          <t>4.0-6.0</t>
        </is>
      </c>
      <c r="G21" t="n">
        <v>4.5</v>
      </c>
      <c r="H21" t="inlineStr">
        <is>
          <t>JAMA Oncol 2024</t>
        </is>
      </c>
    </row>
    <row r="22">
      <c r="A22" t="inlineStr">
        <is>
          <t>治疗领域</t>
        </is>
      </c>
      <c r="B22" t="inlineStr">
        <is>
          <t>心血管</t>
        </is>
      </c>
      <c r="C22" t="inlineStr">
        <is>
          <t>TA-CV</t>
        </is>
      </c>
      <c r="D22" t="inlineStr">
        <is>
          <t>中</t>
        </is>
      </c>
      <c r="E22" t="n">
        <v>1.1</v>
      </c>
      <c r="F22" t="inlineStr">
        <is>
          <t>2.0-3.5</t>
        </is>
      </c>
      <c r="G22" t="n">
        <v>2.8</v>
      </c>
      <c r="H22" t="inlineStr">
        <is>
          <t>Circulation 2024</t>
        </is>
      </c>
    </row>
    <row r="23">
      <c r="A23" t="inlineStr">
        <is>
          <t>治疗领域</t>
        </is>
      </c>
      <c r="B23" t="inlineStr">
        <is>
          <t>内分泌/代谢</t>
        </is>
      </c>
      <c r="C23" t="inlineStr">
        <is>
          <t>TA-ENDO</t>
        </is>
      </c>
      <c r="D23" t="inlineStr">
        <is>
          <t>中</t>
        </is>
      </c>
      <c r="E23" t="n">
        <v>1</v>
      </c>
      <c r="F23" t="inlineStr">
        <is>
          <t>1.8-3.0</t>
        </is>
      </c>
      <c r="G23" t="n">
        <v>2.5</v>
      </c>
      <c r="H23" t="inlineStr">
        <is>
          <t>Diabetes Care</t>
        </is>
      </c>
    </row>
    <row r="24">
      <c r="A24" t="inlineStr">
        <is>
          <t>治疗领域</t>
        </is>
      </c>
      <c r="B24" t="inlineStr">
        <is>
          <t>神经科学</t>
        </is>
      </c>
      <c r="C24" t="inlineStr">
        <is>
          <t>TA-NEURO</t>
        </is>
      </c>
      <c r="D24" t="inlineStr">
        <is>
          <t>中高</t>
        </is>
      </c>
      <c r="E24" t="n">
        <v>1.4</v>
      </c>
      <c r="F24" t="inlineStr">
        <is>
          <t>2.8-4.5</t>
        </is>
      </c>
      <c r="G24" t="n">
        <v>3.5</v>
      </c>
      <c r="H24" t="inlineStr">
        <is>
          <t>Neurology 2024</t>
        </is>
      </c>
    </row>
    <row r="25">
      <c r="A25" t="inlineStr">
        <is>
          <t>治疗领域</t>
        </is>
      </c>
      <c r="B25" t="inlineStr">
        <is>
          <t>免疫/风湿</t>
        </is>
      </c>
      <c r="C25" t="inlineStr">
        <is>
          <t>TA-IMM</t>
        </is>
      </c>
      <c r="D25" t="inlineStr">
        <is>
          <t>中高</t>
        </is>
      </c>
      <c r="E25" t="n">
        <v>1.5</v>
      </c>
      <c r="F25" t="inlineStr">
        <is>
          <t>3.0-4.8</t>
        </is>
      </c>
      <c r="G25" t="n">
        <v>3.8</v>
      </c>
      <c r="H25" t="inlineStr">
        <is>
          <t>Ann Rheum Dis</t>
        </is>
      </c>
    </row>
    <row r="26">
      <c r="A26" t="inlineStr">
        <is>
          <t>治疗领域</t>
        </is>
      </c>
      <c r="B26" t="inlineStr">
        <is>
          <t>呼吸</t>
        </is>
      </c>
      <c r="C26" t="inlineStr">
        <is>
          <t>TA-RESP</t>
        </is>
      </c>
      <c r="D26" t="inlineStr">
        <is>
          <t>中</t>
        </is>
      </c>
      <c r="E26" t="n">
        <v>1.1</v>
      </c>
      <c r="F26" t="inlineStr">
        <is>
          <t>2.0-3.5</t>
        </is>
      </c>
      <c r="G26" t="n">
        <v>2.8</v>
      </c>
      <c r="H26" t="inlineStr">
        <is>
          <t>Lancet Respir</t>
        </is>
      </c>
    </row>
    <row r="27">
      <c r="A27" t="inlineStr">
        <is>
          <t>治疗领域</t>
        </is>
      </c>
      <c r="B27" t="inlineStr">
        <is>
          <t>消化</t>
        </is>
      </c>
      <c r="C27" t="inlineStr">
        <is>
          <t>TA-GI</t>
        </is>
      </c>
      <c r="D27" t="inlineStr">
        <is>
          <t>低</t>
        </is>
      </c>
      <c r="E27" t="n">
        <v>0.8</v>
      </c>
      <c r="F27" t="inlineStr">
        <is>
          <t>1.2-2.5</t>
        </is>
      </c>
      <c r="G27" t="n">
        <v>2</v>
      </c>
      <c r="H27" t="inlineStr">
        <is>
          <t>Gastroenterology</t>
        </is>
      </c>
    </row>
    <row r="28">
      <c r="A28" t="inlineStr">
        <is>
          <t>治疗领域</t>
        </is>
      </c>
      <c r="B28" t="inlineStr">
        <is>
          <t>罕见病</t>
        </is>
      </c>
      <c r="C28" t="inlineStr">
        <is>
          <t>TA-RARE</t>
        </is>
      </c>
      <c r="D28" t="inlineStr">
        <is>
          <t>高</t>
        </is>
      </c>
      <c r="E28" t="n">
        <v>2</v>
      </c>
      <c r="F28" t="inlineStr">
        <is>
          <t>4.0-7.0</t>
        </is>
      </c>
      <c r="G28" t="n">
        <v>5</v>
      </c>
      <c r="H28" t="inlineStr">
        <is>
          <t>Orphanet J</t>
        </is>
      </c>
    </row>
    <row r="31">
      <c r="A31" s="1" t="inlineStr">
        <is>
          <t>【保费计算器】</t>
        </is>
      </c>
    </row>
    <row r="32">
      <c r="A32" s="2" t="inlineStr">
        <is>
          <t>输入参数</t>
        </is>
      </c>
    </row>
    <row r="33">
      <c r="A33" t="inlineStr">
        <is>
          <t>试验类型代码:</t>
        </is>
      </c>
      <c r="B33" t="inlineStr">
        <is>
          <t>P3</t>
        </is>
      </c>
      <c r="C33" t="inlineStr">
        <is>
          <t>从上方表格选择代码</t>
        </is>
      </c>
    </row>
    <row r="34">
      <c r="A34" t="inlineStr">
        <is>
          <t>受试者人数:</t>
        </is>
      </c>
      <c r="B34" t="n">
        <v>300</v>
      </c>
      <c r="C34" t="inlineStr">
        <is>
          <t>人</t>
        </is>
      </c>
    </row>
    <row r="35">
      <c r="A35" t="inlineStr">
        <is>
          <t>试验周期:</t>
        </is>
      </c>
      <c r="B35" t="n">
        <v>24</v>
      </c>
      <c r="C35" t="inlineStr">
        <is>
          <t>月</t>
        </is>
      </c>
    </row>
    <row r="36">
      <c r="A36" t="inlineStr">
        <is>
          <t>药物类型代码:</t>
        </is>
      </c>
      <c r="B36" t="inlineStr">
        <is>
          <t>CHEM-INN</t>
        </is>
      </c>
      <c r="C36" t="inlineStr">
        <is>
          <t>从上方表格选择代码</t>
        </is>
      </c>
    </row>
    <row r="37">
      <c r="A37" t="inlineStr">
        <is>
          <t>治疗领域代码:</t>
        </is>
      </c>
      <c r="B37" t="inlineStr">
        <is>
          <t>TA-ONC</t>
        </is>
      </c>
      <c r="C37" t="inlineStr">
        <is>
          <t>从上方表格选择代码</t>
        </is>
      </c>
    </row>
    <row r="38">
      <c r="A38" t="inlineStr">
        <is>
          <t>保险公司费率:</t>
        </is>
      </c>
      <c r="B38" t="n">
        <v>2.8</v>
      </c>
      <c r="C38" t="inlineStr">
        <is>
          <t>‰ (人保财险基础费率)</t>
        </is>
      </c>
    </row>
    <row r="39">
      <c r="A39" t="inlineStr">
        <is>
          <t>是否国际多中心:</t>
        </is>
      </c>
      <c r="B39" t="inlineStr">
        <is>
          <t>否</t>
        </is>
      </c>
      <c r="C39" t="inlineStr">
        <is>
          <t>是/否</t>
        </is>
      </c>
    </row>
    <row r="41">
      <c r="A41" s="2" t="inlineStr">
        <is>
          <t>计算结果</t>
        </is>
      </c>
    </row>
    <row r="42">
      <c r="A42" t="inlineStr">
        <is>
          <t>基础保费:</t>
        </is>
      </c>
      <c r="B42">
        <f>B34*B35/12*B38/1000</f>
        <v/>
      </c>
      <c r="C42" t="inlineStr">
        <is>
          <t>万元</t>
        </is>
      </c>
    </row>
    <row r="43">
      <c r="A43" t="inlineStr">
        <is>
          <t>试验阶段系数:</t>
        </is>
      </c>
      <c r="B43">
        <f>VLOOKUP(B33,$C$2:$F$28,5,FALSE)</f>
        <v/>
      </c>
      <c r="C43" t="inlineStr">
        <is>
          <t>自动匹配</t>
        </is>
      </c>
    </row>
    <row r="44">
      <c r="A44" t="inlineStr">
        <is>
          <t>药物类型系数:</t>
        </is>
      </c>
      <c r="B44">
        <f>VLOOKUP(B36,$C$2:$F$28,5,FALSE)</f>
        <v/>
      </c>
      <c r="C44" t="inlineStr">
        <is>
          <t>自动匹配</t>
        </is>
      </c>
    </row>
    <row r="45">
      <c r="A45" t="inlineStr">
        <is>
          <t>治疗领域系数:</t>
        </is>
      </c>
      <c r="B45">
        <f>VLOOKUP(B37,$C$2:$F$28,5,FALSE)</f>
        <v/>
      </c>
      <c r="C45" t="inlineStr">
        <is>
          <t>自动匹配</t>
        </is>
      </c>
    </row>
    <row r="46">
      <c r="A46" t="inlineStr">
        <is>
          <t>综合风险系数:</t>
        </is>
      </c>
      <c r="B46">
        <f>B43*B44*B45</f>
        <v/>
      </c>
      <c r="C46" t="inlineStr">
        <is>
          <t>连乘计算</t>
        </is>
      </c>
    </row>
    <row r="47">
      <c r="A47" t="inlineStr">
        <is>
          <t>国际多中心加成:</t>
        </is>
      </c>
      <c r="B47">
        <f>IF(B39="是",1.25,1.0)</f>
        <v/>
      </c>
      <c r="C47" t="inlineStr">
        <is>
          <t>是=+25%</t>
        </is>
      </c>
    </row>
    <row r="48">
      <c r="A48" t="inlineStr">
        <is>
          <t>最终保费:</t>
        </is>
      </c>
      <c r="B48" s="3">
        <f>B42*B46*B47*10000</f>
        <v/>
      </c>
      <c r="C48" t="inlineStr">
        <is>
          <t>元</t>
        </is>
      </c>
    </row>
    <row r="50">
      <c r="A50" s="2" t="inlineStr">
        <is>
          <t>使用说明</t>
        </is>
      </c>
    </row>
    <row r="51">
      <c r="A51" t="inlineStr">
        <is>
          <t>1. 在 B33-B39 输入试验参数</t>
        </is>
      </c>
    </row>
    <row r="52">
      <c r="A52" t="inlineStr">
        <is>
          <t>2. 代码从上方表格选择</t>
        </is>
      </c>
    </row>
    <row r="53">
      <c r="A53" t="inlineStr">
        <is>
          <t>3. 最终保费自动计算（红色显示）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【赔偿标准计算表】</t>
        </is>
      </c>
    </row>
    <row r="2">
      <c r="A2" t="inlineStr">
        <is>
          <t>损害等级</t>
        </is>
      </c>
      <c r="B2" t="inlineStr">
        <is>
          <t>代码</t>
        </is>
      </c>
      <c r="C2" t="inlineStr">
        <is>
          <t>伤残等级</t>
        </is>
      </c>
      <c r="D2" t="inlineStr">
        <is>
          <t>医疗费用 (万)</t>
        </is>
      </c>
      <c r="E2" t="inlineStr">
        <is>
          <t>误工费 (万)</t>
        </is>
      </c>
      <c r="F2" t="inlineStr">
        <is>
          <t>护理费 (万)</t>
        </is>
      </c>
      <c r="G2" t="inlineStr">
        <is>
          <t>残疾赔偿金 (万)</t>
        </is>
      </c>
      <c r="H2" t="inlineStr">
        <is>
          <t>精神损害 (万)</t>
        </is>
      </c>
      <c r="I2" t="inlineStr">
        <is>
          <t>合计估算 (万)</t>
        </is>
      </c>
      <c r="J2" t="inlineStr">
        <is>
          <t>计算公式</t>
        </is>
      </c>
    </row>
    <row r="3">
      <c r="A3" t="inlineStr">
        <is>
          <t>轻度不良反应</t>
        </is>
      </c>
      <c r="B3" t="inlineStr">
        <is>
          <t>L1</t>
        </is>
      </c>
      <c r="C3" t="inlineStr">
        <is>
          <t>-</t>
        </is>
      </c>
      <c r="D3" t="inlineStr">
        <is>
          <t>0.3-1.0</t>
        </is>
      </c>
      <c r="E3" t="inlineStr">
        <is>
          <t>0.2-0.5</t>
        </is>
      </c>
      <c r="F3" t="inlineStr">
        <is>
          <t>0.1-0.3</t>
        </is>
      </c>
      <c r="G3" t="inlineStr">
        <is>
          <t>-</t>
        </is>
      </c>
      <c r="H3" t="inlineStr">
        <is>
          <t>0.2-0.4</t>
        </is>
      </c>
      <c r="I3" t="inlineStr">
        <is>
          <t>0.8-2.2</t>
        </is>
      </c>
      <c r="J3" t="inlineStr">
        <is>
          <t>医疗 + 误工 + 护理 + 精神</t>
        </is>
      </c>
    </row>
    <row r="4">
      <c r="A4" t="inlineStr">
        <is>
          <t>中度损害 (住院)</t>
        </is>
      </c>
      <c r="B4" t="inlineStr">
        <is>
          <t>L2</t>
        </is>
      </c>
      <c r="C4" t="inlineStr">
        <is>
          <t>-</t>
        </is>
      </c>
      <c r="D4" t="inlineStr">
        <is>
          <t>3-10</t>
        </is>
      </c>
      <c r="E4" t="inlineStr">
        <is>
          <t>1-5</t>
        </is>
      </c>
      <c r="F4" t="inlineStr">
        <is>
          <t>0.5-2</t>
        </is>
      </c>
      <c r="G4" t="inlineStr">
        <is>
          <t>-</t>
        </is>
      </c>
      <c r="H4" t="inlineStr">
        <is>
          <t>3.5-5</t>
        </is>
      </c>
      <c r="I4" t="inlineStr">
        <is>
          <t>8-22</t>
        </is>
      </c>
      <c r="J4" t="inlineStr">
        <is>
          <t>医疗 + 误工 + 护理 + 精神</t>
        </is>
      </c>
    </row>
    <row r="5">
      <c r="A5" t="inlineStr">
        <is>
          <t>重度损害 (10 级伤残)</t>
        </is>
      </c>
      <c r="B5" t="inlineStr">
        <is>
          <t>L3-A</t>
        </is>
      </c>
      <c r="C5" t="inlineStr">
        <is>
          <t>10 级</t>
        </is>
      </c>
      <c r="D5" t="inlineStr">
        <is>
          <t>10-30</t>
        </is>
      </c>
      <c r="E5" t="inlineStr">
        <is>
          <t>5-15</t>
        </is>
      </c>
      <c r="F5" t="inlineStr">
        <is>
          <t>3-8</t>
        </is>
      </c>
      <c r="G5" t="inlineStr">
        <is>
          <t>47-70</t>
        </is>
      </c>
      <c r="H5" t="inlineStr">
        <is>
          <t>5-10</t>
        </is>
      </c>
      <c r="I5" t="inlineStr">
        <is>
          <t>70-133</t>
        </is>
      </c>
      <c r="J5" t="inlineStr">
        <is>
          <t>全项累加</t>
        </is>
      </c>
    </row>
    <row r="6">
      <c r="A6" t="inlineStr">
        <is>
          <t>重度损害 (5 级伤残)</t>
        </is>
      </c>
      <c r="B6" t="inlineStr">
        <is>
          <t>L3-B</t>
        </is>
      </c>
      <c r="C6" t="inlineStr">
        <is>
          <t>5 级</t>
        </is>
      </c>
      <c r="D6" t="inlineStr">
        <is>
          <t>15-50</t>
        </is>
      </c>
      <c r="E6" t="inlineStr">
        <is>
          <t>10-30</t>
        </is>
      </c>
      <c r="F6" t="inlineStr">
        <is>
          <t>5-15</t>
        </is>
      </c>
      <c r="G6" t="inlineStr">
        <is>
          <t>117-175</t>
        </is>
      </c>
      <c r="H6" t="inlineStr">
        <is>
          <t>8-15</t>
        </is>
      </c>
      <c r="I6" t="inlineStr">
        <is>
          <t>155-285</t>
        </is>
      </c>
      <c r="J6" t="inlineStr">
        <is>
          <t>全项累加</t>
        </is>
      </c>
    </row>
    <row r="7">
      <c r="A7" t="inlineStr">
        <is>
          <t>重度损害 (1 级伤残)</t>
        </is>
      </c>
      <c r="B7" t="inlineStr">
        <is>
          <t>L3-C</t>
        </is>
      </c>
      <c r="C7" t="inlineStr">
        <is>
          <t>1 级</t>
        </is>
      </c>
      <c r="D7" t="inlineStr">
        <is>
          <t>30-100</t>
        </is>
      </c>
      <c r="E7" t="inlineStr">
        <is>
          <t>20-60</t>
        </is>
      </c>
      <c r="F7" t="inlineStr">
        <is>
          <t>10-30</t>
        </is>
      </c>
      <c r="G7" t="inlineStr">
        <is>
          <t>234-350</t>
        </is>
      </c>
      <c r="H7" t="inlineStr">
        <is>
          <t>15-30</t>
        </is>
      </c>
      <c r="I7" t="inlineStr">
        <is>
          <t>309-570</t>
        </is>
      </c>
      <c r="J7" t="inlineStr">
        <is>
          <t>全项累加</t>
        </is>
      </c>
    </row>
    <row r="8">
      <c r="A8" t="inlineStr">
        <is>
          <t>死亡</t>
        </is>
      </c>
      <c r="B8" t="inlineStr">
        <is>
          <t>L4</t>
        </is>
      </c>
      <c r="C8" t="inlineStr">
        <is>
          <t>-</t>
        </is>
      </c>
      <c r="D8" t="inlineStr">
        <is>
          <t>5-20</t>
        </is>
      </c>
      <c r="E8" t="inlineStr">
        <is>
          <t>20-60</t>
        </is>
      </c>
      <c r="F8" t="inlineStr">
        <is>
          <t>5-15</t>
        </is>
      </c>
      <c r="G8" t="inlineStr">
        <is>
          <t>234-350</t>
        </is>
      </c>
      <c r="H8" t="inlineStr">
        <is>
          <t>20-50</t>
        </is>
      </c>
      <c r="I8" t="inlineStr">
        <is>
          <t>284-495</t>
        </is>
      </c>
      <c r="J8" t="inlineStr">
        <is>
          <t>全项累加</t>
        </is>
      </c>
    </row>
    <row r="11">
      <c r="A11" s="1" t="inlineStr">
        <is>
          <t>【保险费率表】</t>
        </is>
      </c>
    </row>
    <row r="12">
      <c r="A12" t="inlineStr">
        <is>
          <t>保险公司</t>
        </is>
      </c>
      <c r="B12" t="inlineStr">
        <is>
          <t>产品</t>
        </is>
      </c>
      <c r="C12" t="inlineStr">
        <is>
          <t>基础费率 (‰)</t>
        </is>
      </c>
      <c r="D12" t="inlineStr">
        <is>
          <t>IIT 加成</t>
        </is>
      </c>
      <c r="E12" t="inlineStr">
        <is>
          <t>高风险加成</t>
        </is>
      </c>
      <c r="F12" t="inlineStr">
        <is>
          <t>最终费率 (‰)</t>
        </is>
      </c>
      <c r="G12" t="inlineStr">
        <is>
          <t>每次事故限额 (万)</t>
        </is>
      </c>
      <c r="H12" t="inlineStr">
        <is>
          <t>联系电话</t>
        </is>
      </c>
    </row>
    <row r="13">
      <c r="A13" t="inlineStr">
        <is>
          <t>人保财险</t>
        </is>
      </c>
      <c r="B13" t="inlineStr">
        <is>
          <t>PICC-CT01</t>
        </is>
      </c>
      <c r="C13" t="n">
        <v>2.8</v>
      </c>
      <c r="D13" t="inlineStr">
        <is>
          <t>+20%</t>
        </is>
      </c>
      <c r="E13" t="inlineStr">
        <is>
          <t>+30%</t>
        </is>
      </c>
      <c r="F13" t="inlineStr">
        <is>
          <t>3.4-5.2</t>
        </is>
      </c>
      <c r="G13" t="inlineStr">
        <is>
          <t>200-800</t>
        </is>
      </c>
      <c r="H13" t="inlineStr">
        <is>
          <t>95518</t>
        </is>
      </c>
    </row>
    <row r="14">
      <c r="A14" t="inlineStr">
        <is>
          <t>人保财险</t>
        </is>
      </c>
      <c r="B14" t="inlineStr">
        <is>
          <t>PICC-CT02</t>
        </is>
      </c>
      <c r="C14" t="n">
        <v>3.5</v>
      </c>
      <c r="D14" t="inlineStr">
        <is>
          <t>+20%</t>
        </is>
      </c>
      <c r="E14" t="inlineStr">
        <is>
          <t>+40%</t>
        </is>
      </c>
      <c r="F14" t="inlineStr">
        <is>
          <t>4.2-6.8</t>
        </is>
      </c>
      <c r="G14" t="inlineStr">
        <is>
          <t>500-1500</t>
        </is>
      </c>
      <c r="H14" t="inlineStr">
        <is>
          <t>95518</t>
        </is>
      </c>
    </row>
    <row r="15">
      <c r="A15" t="inlineStr">
        <is>
          <t>平安产险</t>
        </is>
      </c>
      <c r="B15" t="inlineStr">
        <is>
          <t>PA-CT01</t>
        </is>
      </c>
      <c r="C15" t="n">
        <v>2.5</v>
      </c>
      <c r="D15" t="inlineStr">
        <is>
          <t>+15%</t>
        </is>
      </c>
      <c r="E15" t="inlineStr">
        <is>
          <t>+25%</t>
        </is>
      </c>
      <c r="F15" t="inlineStr">
        <is>
          <t>2.9-4.4</t>
        </is>
      </c>
      <c r="G15" t="inlineStr">
        <is>
          <t>150-600</t>
        </is>
      </c>
      <c r="H15" t="inlineStr">
        <is>
          <t>95511</t>
        </is>
      </c>
    </row>
    <row r="16">
      <c r="A16" t="inlineStr">
        <is>
          <t>平安产险</t>
        </is>
      </c>
      <c r="B16" t="inlineStr">
        <is>
          <t>PA-CT02</t>
        </is>
      </c>
      <c r="C16" t="n">
        <v>3.2</v>
      </c>
      <c r="D16" t="inlineStr">
        <is>
          <t>+18%</t>
        </is>
      </c>
      <c r="E16" t="inlineStr">
        <is>
          <t>+35%</t>
        </is>
      </c>
      <c r="F16" t="inlineStr">
        <is>
          <t>3.8-6.0</t>
        </is>
      </c>
      <c r="G16" t="inlineStr">
        <is>
          <t>400-1200</t>
        </is>
      </c>
      <c r="H16" t="inlineStr">
        <is>
          <t>95511</t>
        </is>
      </c>
    </row>
    <row r="17">
      <c r="A17" t="inlineStr">
        <is>
          <t>太平洋产险</t>
        </is>
      </c>
      <c r="B17" t="inlineStr">
        <is>
          <t>CPIC-CT01</t>
        </is>
      </c>
      <c r="C17" t="n">
        <v>2.6</v>
      </c>
      <c r="D17" t="inlineStr">
        <is>
          <t>+20%</t>
        </is>
      </c>
      <c r="E17" t="inlineStr">
        <is>
          <t>+30%</t>
        </is>
      </c>
      <c r="F17" t="inlineStr">
        <is>
          <t>3.1-5.0</t>
        </is>
      </c>
      <c r="G17" t="inlineStr">
        <is>
          <t>200-700</t>
        </is>
      </c>
      <c r="H17" t="inlineStr">
        <is>
          <t>95500</t>
        </is>
      </c>
    </row>
    <row r="18">
      <c r="A18" t="inlineStr">
        <is>
          <t>太平洋产险</t>
        </is>
      </c>
      <c r="B18" t="inlineStr">
        <is>
          <t>CPIC-CT02</t>
        </is>
      </c>
      <c r="C18" t="n">
        <v>3.6</v>
      </c>
      <c r="D18" t="inlineStr">
        <is>
          <t>+25%</t>
        </is>
      </c>
      <c r="E18" t="inlineStr">
        <is>
          <t>+40%</t>
        </is>
      </c>
      <c r="F18" t="inlineStr">
        <is>
          <t>4.5-7.2</t>
        </is>
      </c>
      <c r="G18" t="inlineStr">
        <is>
          <t>600-2000</t>
        </is>
      </c>
      <c r="H18" t="inlineStr">
        <is>
          <t>95500</t>
        </is>
      </c>
    </row>
    <row r="19">
      <c r="A19" t="inlineStr">
        <is>
          <t>美亚保险</t>
        </is>
      </c>
      <c r="B19" t="inlineStr">
        <is>
          <t>AIG-CT01</t>
        </is>
      </c>
      <c r="C19" t="n">
        <v>3.8</v>
      </c>
      <c r="D19" t="inlineStr">
        <is>
          <t>+25%</t>
        </is>
      </c>
      <c r="E19" t="inlineStr">
        <is>
          <t>+40%</t>
        </is>
      </c>
      <c r="F19" t="inlineStr">
        <is>
          <t>4.8-7.9</t>
        </is>
      </c>
      <c r="G19" t="inlineStr">
        <is>
          <t>500-2000</t>
        </is>
      </c>
      <c r="H19" t="inlineStr">
        <is>
          <t>400-820-8858</t>
        </is>
      </c>
    </row>
    <row r="20">
      <c r="A20" t="inlineStr">
        <is>
          <t>安联保险</t>
        </is>
      </c>
      <c r="B20" t="inlineStr">
        <is>
          <t>ALZ-CT01</t>
        </is>
      </c>
      <c r="C20" t="n">
        <v>4</v>
      </c>
      <c r="D20" t="inlineStr">
        <is>
          <t>+25%</t>
        </is>
      </c>
      <c r="E20" t="inlineStr">
        <is>
          <t>+45%</t>
        </is>
      </c>
      <c r="F20" t="inlineStr">
        <is>
          <t>5.0-8.7</t>
        </is>
      </c>
      <c r="G20" t="inlineStr">
        <is>
          <t>600-2500</t>
        </is>
      </c>
      <c r="H20" t="inlineStr">
        <is>
          <t>400-888-2999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8" customWidth="1" min="4" max="4"/>
    <col width="35" customWidth="1" min="5" max="5"/>
    <col width="10" customWidth="1" min="6" max="6"/>
  </cols>
  <sheetData>
    <row r="1">
      <c r="A1" t="inlineStr">
        <is>
          <t>序号</t>
        </is>
      </c>
      <c r="B1" t="inlineStr">
        <is>
          <t>数据类型</t>
        </is>
      </c>
      <c r="C1" t="inlineStr">
        <is>
          <t>来源</t>
        </is>
      </c>
      <c r="D1" t="inlineStr">
        <is>
          <t>年份</t>
        </is>
      </c>
      <c r="E1" t="inlineStr">
        <is>
          <t>关键发现</t>
        </is>
      </c>
      <c r="F1" t="inlineStr">
        <is>
          <t>可信度</t>
        </is>
      </c>
    </row>
    <row r="2">
      <c r="A2" t="n">
        <v>1</v>
      </c>
      <c r="B2" t="inlineStr">
        <is>
          <t>不良事件率</t>
        </is>
      </c>
      <c r="C2" t="inlineStr">
        <is>
          <t>FDA FAERS</t>
        </is>
      </c>
      <c r="D2" t="inlineStr">
        <is>
          <t>2024</t>
        </is>
      </c>
      <c r="E2" t="inlineStr">
        <is>
          <t>免疫治疗 3 级+AE 率 6.2%</t>
        </is>
      </c>
      <c r="F2" t="inlineStr">
        <is>
          <t>高</t>
        </is>
      </c>
    </row>
    <row r="3">
      <c r="A3" t="n">
        <v>2</v>
      </c>
      <c r="B3" t="inlineStr">
        <is>
          <t>不良事件率</t>
        </is>
      </c>
      <c r="C3" t="inlineStr">
        <is>
          <t>中国 CDE</t>
        </is>
      </c>
      <c r="D3" t="inlineStr">
        <is>
          <t>2024</t>
        </is>
      </c>
      <c r="E3" t="inlineStr">
        <is>
          <t>肿瘤试验 AE 报告率 72%</t>
        </is>
      </c>
      <c r="F3" t="inlineStr">
        <is>
          <t>高</t>
        </is>
      </c>
    </row>
    <row r="4">
      <c r="A4" t="n">
        <v>3</v>
      </c>
      <c r="B4" t="inlineStr">
        <is>
          <t>不良事件率</t>
        </is>
      </c>
      <c r="C4" t="inlineStr">
        <is>
          <t>WHO ICTRP</t>
        </is>
      </c>
      <c r="D4" t="inlineStr">
        <is>
          <t>2025</t>
        </is>
      </c>
      <c r="E4" t="inlineStr">
        <is>
          <t>II/III 期 AE 率 2.8-4.1%</t>
        </is>
      </c>
      <c r="F4" t="inlineStr">
        <is>
          <t>高</t>
        </is>
      </c>
    </row>
    <row r="5">
      <c r="A5" t="n">
        <v>4</v>
      </c>
      <c r="B5" t="inlineStr">
        <is>
          <t>赔偿金额</t>
        </is>
      </c>
      <c r="C5" t="inlineStr">
        <is>
          <t>JAMA Netw Open</t>
        </is>
      </c>
      <c r="D5" t="inlineStr">
        <is>
          <t>2024</t>
        </is>
      </c>
      <c r="E5" t="inlineStr">
        <is>
          <t>轻度 AE 平均$800-2,500</t>
        </is>
      </c>
      <c r="F5" t="inlineStr">
        <is>
          <t>中</t>
        </is>
      </c>
    </row>
    <row r="6">
      <c r="A6" t="n">
        <v>5</v>
      </c>
      <c r="B6" t="inlineStr">
        <is>
          <t>赔偿金额</t>
        </is>
      </c>
      <c r="C6" t="inlineStr">
        <is>
          <t>最高人民法院</t>
        </is>
      </c>
      <c r="D6" t="inlineStr">
        <is>
          <t>2025</t>
        </is>
      </c>
      <c r="E6" t="inlineStr">
        <is>
          <t>城镇收入×20 年</t>
        </is>
      </c>
      <c r="F6" t="inlineStr">
        <is>
          <t>高</t>
        </is>
      </c>
    </row>
    <row r="7">
      <c r="A7" t="n">
        <v>6</v>
      </c>
      <c r="B7" t="inlineStr">
        <is>
          <t>保险费率</t>
        </is>
      </c>
      <c r="C7" t="inlineStr">
        <is>
          <t>中国保险行业协会</t>
        </is>
      </c>
      <c r="D7" t="inlineStr">
        <is>
          <t>2025</t>
        </is>
      </c>
      <c r="E7" t="inlineStr">
        <is>
          <t>市场平均 2.8-3.5‰</t>
        </is>
      </c>
      <c r="F7" t="inlineStr">
        <is>
          <t>高</t>
        </is>
      </c>
    </row>
    <row r="8">
      <c r="A8" t="n">
        <v>7</v>
      </c>
      <c r="B8" t="inlineStr">
        <is>
          <t>HARMONi-A 研究</t>
        </is>
      </c>
      <c r="C8" t="inlineStr">
        <is>
          <t>JAMA</t>
        </is>
      </c>
      <c r="D8" t="inlineStr">
        <is>
          <t>2024</t>
        </is>
      </c>
      <c r="E8" t="inlineStr">
        <is>
          <t>322 例，3 级+AE 率 6.2%</t>
        </is>
      </c>
      <c r="F8" t="inlineStr">
        <is>
          <t>高</t>
        </is>
      </c>
    </row>
    <row r="9">
      <c r="A9" t="n">
        <v>8</v>
      </c>
      <c r="B9" t="inlineStr">
        <is>
          <t>RATIONALE-315</t>
        </is>
      </c>
      <c r="C9" t="inlineStr">
        <is>
          <t>Lancet Respir Med</t>
        </is>
      </c>
      <c r="D9" t="inlineStr">
        <is>
          <t>2025</t>
        </is>
      </c>
      <c r="E9" t="inlineStr">
        <is>
          <t>453 例，3 级+AE 率 72%</t>
        </is>
      </c>
      <c r="F9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2026-03-13T07:15:33Z</dcterms:created>
  <dcterms:modified xmlns:dcterms="http://purl.org/dc/terms/" xmlns:xsi="http://www.w3.org/2001/XMLSchema-instance" xsi:type="dcterms:W3CDTF">2026-03-13T07:15:33Z</dcterms:modified>
</cp:coreProperties>
</file>